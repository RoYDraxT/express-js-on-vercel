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ri\Desktop\CIPREMO\EcoModel\"/>
    </mc:Choice>
  </mc:AlternateContent>
  <xr:revisionPtr revIDLastSave="0" documentId="13_ncr:1_{857B6324-22D3-4950-92B0-13D0EE3CC7D6}" xr6:coauthVersionLast="47" xr6:coauthVersionMax="47" xr10:uidLastSave="{00000000-0000-0000-0000-000000000000}"/>
  <bookViews>
    <workbookView xWindow="35985" yWindow="4800" windowWidth="17280" windowHeight="9465" activeTab="3" xr2:uid="{00000000-000D-0000-FFFF-FFFF00000000}"/>
  </bookViews>
  <sheets>
    <sheet name="Hoja1" sheetId="2" r:id="rId1"/>
    <sheet name="Hoja2" sheetId="3" r:id="rId2"/>
    <sheet name="Hoja3" sheetId="4" r:id="rId3"/>
    <sheet name="COLOCACIONES_BIOCREDITOS" sheetId="1" r:id="rId4"/>
    <sheet name="Hoja9" sheetId="10" r:id="rId5"/>
    <sheet name="Hoja8" sheetId="9" r:id="rId6"/>
  </sheets>
  <definedNames>
    <definedName name="_xlnm._FilterDatabase" localSheetId="3" hidden="1">COLOCACIONES_BIOCREDITOS!$A$1:$AC$116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20" i="1"/>
  <c r="O74" i="1"/>
  <c r="O6" i="1"/>
  <c r="O15" i="1"/>
  <c r="O16" i="1"/>
  <c r="O19" i="1"/>
  <c r="O21" i="1"/>
  <c r="O22" i="1"/>
  <c r="O24" i="1"/>
  <c r="O27" i="1"/>
  <c r="O28" i="1"/>
  <c r="O33" i="1"/>
  <c r="O62" i="1"/>
  <c r="O67" i="1"/>
  <c r="O4" i="1"/>
  <c r="O14" i="1"/>
  <c r="O23" i="1"/>
  <c r="O70" i="1"/>
  <c r="O72" i="1"/>
  <c r="O63" i="1"/>
  <c r="O13" i="1"/>
  <c r="O47" i="1"/>
  <c r="O71" i="1"/>
  <c r="O76" i="1"/>
  <c r="O17" i="1"/>
  <c r="O48" i="1"/>
  <c r="O11" i="1"/>
  <c r="O35" i="1"/>
  <c r="O18" i="1"/>
  <c r="O54" i="1"/>
  <c r="O7" i="1"/>
  <c r="O31" i="1"/>
  <c r="O39" i="1"/>
  <c r="O40" i="1"/>
  <c r="O55" i="1"/>
  <c r="O69" i="1"/>
  <c r="O73" i="1"/>
  <c r="O34" i="1"/>
  <c r="O42" i="1"/>
  <c r="O57" i="1"/>
  <c r="O61" i="1"/>
  <c r="O3" i="1"/>
  <c r="O37" i="1"/>
  <c r="O41" i="1"/>
  <c r="O43" i="1"/>
  <c r="O50" i="1"/>
  <c r="O52" i="1"/>
  <c r="O68" i="1"/>
  <c r="O8" i="1"/>
  <c r="O25" i="1"/>
  <c r="O36" i="1"/>
  <c r="O56" i="1"/>
  <c r="O9" i="1"/>
  <c r="O12" i="1"/>
  <c r="O29" i="1"/>
  <c r="O38" i="1"/>
  <c r="O49" i="1"/>
  <c r="O51" i="1"/>
  <c r="O59" i="1"/>
  <c r="O65" i="1"/>
  <c r="O66" i="1"/>
  <c r="O32" i="1"/>
  <c r="O44" i="1"/>
  <c r="O5" i="1"/>
  <c r="O10" i="1"/>
  <c r="O30" i="1"/>
  <c r="O45" i="1"/>
  <c r="O46" i="1"/>
  <c r="O60" i="1"/>
  <c r="O53" i="1"/>
  <c r="O58" i="1"/>
  <c r="O64" i="1"/>
  <c r="O75" i="1"/>
  <c r="O26" i="1"/>
  <c r="C33" i="4" l="1"/>
  <c r="B33" i="4"/>
</calcChain>
</file>

<file path=xl/sharedStrings.xml><?xml version="1.0" encoding="utf-8"?>
<sst xmlns="http://schemas.openxmlformats.org/spreadsheetml/2006/main" count="4171" uniqueCount="481">
  <si>
    <t>NUMERO</t>
  </si>
  <si>
    <t>REGION (1)</t>
  </si>
  <si>
    <t>PROVINCIA (2)</t>
  </si>
  <si>
    <t xml:space="preserve">DISTRITO (3) </t>
  </si>
  <si>
    <t xml:space="preserve">CASERIO/SECTOR (4) </t>
  </si>
  <si>
    <t>AGENCIA ENTIDAD FINANCIERA (5)</t>
  </si>
  <si>
    <t>NOMBRES Y APELLIDOS DEL CLIENTE (6)</t>
  </si>
  <si>
    <t>SEXO PROPIETARIO DEL NEGOCIO (7)</t>
  </si>
  <si>
    <t>MONTO DEL CRÉDITO (S/.) (8)</t>
  </si>
  <si>
    <t>DNI/RUC (9)</t>
  </si>
  <si>
    <t>FECHA DESEMBOLSO (10)</t>
  </si>
  <si>
    <t>FECHA VENCIMIENTO (11)</t>
  </si>
  <si>
    <t>DESTINO DEL CRÉDITO : ACTIVO FIJO / CAPITAL DE TRABAJO (12)</t>
  </si>
  <si>
    <t>ACTIVIDAD PRINCIPAL  DEL CLIENTE (13)</t>
  </si>
  <si>
    <t>TIPO DE CRÉDITO (15)</t>
  </si>
  <si>
    <t>TEA (16)</t>
  </si>
  <si>
    <t>COORDENADAS UTM (17)</t>
  </si>
  <si>
    <t>ÁREA TOTAL (HA) (18)</t>
  </si>
  <si>
    <t>ÁREA A CULTIVAR (HA) (19)</t>
  </si>
  <si>
    <t>PREDIO LIBRE DEFORESTACIÓN (20)</t>
  </si>
  <si>
    <t>PREDIO FUERA DE ZONAS DE ANP (21)</t>
  </si>
  <si>
    <t>PREDIO CON (SAF) (22)</t>
  </si>
  <si>
    <t>EDAD DEL SAF (23)</t>
  </si>
  <si>
    <t>USO DE ABONOS SOSTENIBLES (24)</t>
  </si>
  <si>
    <t>MANEJO INTEGRADO DE PLAGAS (25)</t>
  </si>
  <si>
    <t>CLIENTE  NUEVO (28)</t>
  </si>
  <si>
    <t>CLIENTE RECURRENTE (29)</t>
  </si>
  <si>
    <t xml:space="preserve">Cusco </t>
  </si>
  <si>
    <t>Quillabamba</t>
  </si>
  <si>
    <t>Echarate</t>
  </si>
  <si>
    <t>sector Chayña puerto</t>
  </si>
  <si>
    <t>Enriquez Espinoza Raul</t>
  </si>
  <si>
    <t>M</t>
  </si>
  <si>
    <t xml:space="preserve">Capital de Trabajo </t>
  </si>
  <si>
    <t xml:space="preserve">Café, Cacao y Frutales </t>
  </si>
  <si>
    <t>microempresa</t>
  </si>
  <si>
    <t>LAT:-72.521877,LON:-72.521877</t>
  </si>
  <si>
    <t>SI</t>
  </si>
  <si>
    <t>recurrente</t>
  </si>
  <si>
    <t>Quellouno</t>
  </si>
  <si>
    <t>sector de lorohuachana</t>
  </si>
  <si>
    <t>Enciso Condori Max Emerson</t>
  </si>
  <si>
    <t>LAT:-12.610723,LON:-72.521877</t>
  </si>
  <si>
    <t>Santa Ana</t>
  </si>
  <si>
    <t>sector pampa concepcion</t>
  </si>
  <si>
    <t>Olivera Puma Gissela</t>
  </si>
  <si>
    <t>F</t>
  </si>
  <si>
    <t>LAT:-12.722856,LON:-72.553122</t>
  </si>
  <si>
    <t>sector chochayoc bajo</t>
  </si>
  <si>
    <t>Yucra Huaman Alicia</t>
  </si>
  <si>
    <t>LAT:-12.599717,LON:-72.682624</t>
  </si>
  <si>
    <t>sector alto pabellon</t>
  </si>
  <si>
    <t>Barreto Barreto Isidro</t>
  </si>
  <si>
    <t>Activo Fijo</t>
  </si>
  <si>
    <t>LAT:-12.59978, LON:-72.682683</t>
  </si>
  <si>
    <t>santa ana</t>
  </si>
  <si>
    <t>Quiroz Zevallos Andrea Keyko</t>
  </si>
  <si>
    <t>LAT:-12.973159,LON:-72.669972</t>
  </si>
  <si>
    <t>Kiteni</t>
  </si>
  <si>
    <t>Sector huayllayoc</t>
  </si>
  <si>
    <t>Mellado Olabarrera Lino Arnaldo</t>
  </si>
  <si>
    <t>Pequeña empresa</t>
  </si>
  <si>
    <t>LAT:-12.725408,LON:-72.557893</t>
  </si>
  <si>
    <t>Sector Alto Canelon</t>
  </si>
  <si>
    <t>Gutierrez Escobar Raul</t>
  </si>
  <si>
    <t>LAT.-12.649832,LON:-72.49118</t>
  </si>
  <si>
    <t>Echarati</t>
  </si>
  <si>
    <t>Sector de Pampa Concepcion</t>
  </si>
  <si>
    <t>Vargas Rojas Vilma</t>
  </si>
  <si>
    <t>LAT:-12.725085,LON:-72.553549</t>
  </si>
  <si>
    <t>Vilcabamba</t>
  </si>
  <si>
    <t>Sector de Choquelluska-Huayrurani</t>
  </si>
  <si>
    <t>Vera Valdivia Jaime</t>
  </si>
  <si>
    <t>LAT:-13.0441,LON:-72.7882</t>
  </si>
  <si>
    <t>Sector Huanay Alto</t>
  </si>
  <si>
    <t xml:space="preserve">Tania Gutierrez Martinez </t>
  </si>
  <si>
    <t>LAT:-12.7901,LON:-72.6679</t>
  </si>
  <si>
    <t>Sector de Chapo Kuviriari</t>
  </si>
  <si>
    <t>Cuba Abarca Andres</t>
  </si>
  <si>
    <t>LAT:-12.4943,LON:-72.7060</t>
  </si>
  <si>
    <t>nuevo</t>
  </si>
  <si>
    <t>Sector de Illapani</t>
  </si>
  <si>
    <t>Ugarte Escalante Elias</t>
  </si>
  <si>
    <t>LAT:-12.6569,LON:-72.6310</t>
  </si>
  <si>
    <t>Sector Canelon Alto</t>
  </si>
  <si>
    <t>Guitierrez escobar raul</t>
  </si>
  <si>
    <t>LAT:-12.649832,LON:-72.49118</t>
  </si>
  <si>
    <t>Sector Putucusi</t>
  </si>
  <si>
    <t>Prudencio Pinedo Dante Daniel</t>
  </si>
  <si>
    <t xml:space="preserve">capital de Trabajo </t>
  </si>
  <si>
    <t>LAT:-12.6385, LON:-72.6226</t>
  </si>
  <si>
    <t>Sector de mercedesniyoc</t>
  </si>
  <si>
    <t>Mejia Daza Aida Luz</t>
  </si>
  <si>
    <t>LAT:-12.6546.LON:-72.6102</t>
  </si>
  <si>
    <t>Quebrada</t>
  </si>
  <si>
    <t>Arcaya Suarez Shalda</t>
  </si>
  <si>
    <t>LAT:-12.6577,LON:-72.3820</t>
  </si>
  <si>
    <t>Ocobamb a</t>
  </si>
  <si>
    <t>Sector Chinganilla</t>
  </si>
  <si>
    <t>Sector Miraflores</t>
  </si>
  <si>
    <t>Challco Quispe Icela</t>
  </si>
  <si>
    <t>LAT:-12.56458219,LON:-72.50550201</t>
  </si>
  <si>
    <t>Pampa Concepcion</t>
  </si>
  <si>
    <t>Mamani Suyo Wilson</t>
  </si>
  <si>
    <t>LAT:-12.66508472,LON:-72.64305797</t>
  </si>
  <si>
    <t>Sector chapu Boyero</t>
  </si>
  <si>
    <t>miranda mendoza samuel</t>
  </si>
  <si>
    <t>LAT:-12.54593943,LON:-72.66581871</t>
  </si>
  <si>
    <t>Miraflores las Americas</t>
  </si>
  <si>
    <t>Bellido Hancco Alfredo</t>
  </si>
  <si>
    <t>LAT:-12.6648178,LON:-72.64438066</t>
  </si>
  <si>
    <t>Sect. Mesa Rumiyoc</t>
  </si>
  <si>
    <t>gutierrez quispe dominga</t>
  </si>
  <si>
    <t>LAT:-12.54557369,LON-72.6653550</t>
  </si>
  <si>
    <t>Sector Campanayoc</t>
  </si>
  <si>
    <t>follano monterroso doris</t>
  </si>
  <si>
    <t>LAT:-12.66495471,LON-72.64305183</t>
  </si>
  <si>
    <t xml:space="preserve">Sector Paraiso Huayanay </t>
  </si>
  <si>
    <t>llerena rimayhuaman gilmar jhon</t>
  </si>
  <si>
    <t>LAT:-12.54593952,LON-72.6658160</t>
  </si>
  <si>
    <t>Hatumpampa</t>
  </si>
  <si>
    <t>challco ramos santos</t>
  </si>
  <si>
    <t>LAT:-12.62259711,LON-72.54996558</t>
  </si>
  <si>
    <t>Sector Lampachaca</t>
  </si>
  <si>
    <t>bellido ancco wilfredo</t>
  </si>
  <si>
    <t>LAT:-12.62253342,LON:-72.5501341</t>
  </si>
  <si>
    <t>Huayopata</t>
  </si>
  <si>
    <t>Sector San pablo</t>
  </si>
  <si>
    <t>Berrio Ccasani Santusa</t>
  </si>
  <si>
    <t>LAT:-13.0088,LON:-72.621</t>
  </si>
  <si>
    <t>Sector Chaupinayoc</t>
  </si>
  <si>
    <t>velasquez cucchi Bianca</t>
  </si>
  <si>
    <t>LAT:-12.71065, LON:-72.4877</t>
  </si>
  <si>
    <t>Palmayoc Sector soccoschayoc</t>
  </si>
  <si>
    <t>Ancco Palomino Celsa</t>
  </si>
  <si>
    <t>LAT:-12.59135, LON:-72.6624</t>
  </si>
  <si>
    <t>anexo Chayña Puerto</t>
  </si>
  <si>
    <t>Gamboa Enriquez Bernardino</t>
  </si>
  <si>
    <t>LAT:-12.68395,LON:-72.544</t>
  </si>
  <si>
    <t>sector sata rosa</t>
  </si>
  <si>
    <t>Vega Canlla Yari</t>
  </si>
  <si>
    <t>LAT.-12.6536, LON:-72.4433</t>
  </si>
  <si>
    <t>Santa Teresa</t>
  </si>
  <si>
    <t>Rodriguez huarancca corina</t>
  </si>
  <si>
    <t>LAT:-12.827180, LON: -72.664398</t>
  </si>
  <si>
    <t>Sector huayopata</t>
  </si>
  <si>
    <t>Jimenez peña Santusa</t>
  </si>
  <si>
    <t>LAT:-13.006691, LON:-72.5788981</t>
  </si>
  <si>
    <t>huyro</t>
  </si>
  <si>
    <t>Sector Marampata</t>
  </si>
  <si>
    <t>Arrozquipa Huanca Antonio</t>
  </si>
  <si>
    <t xml:space="preserve">Café,Palto y Frutales </t>
  </si>
  <si>
    <t>LAT:-13.0003476, LON:- 72.5773756</t>
  </si>
  <si>
    <t>Bellido Hancco Valeriano</t>
  </si>
  <si>
    <t>LAT:-12.5644639,LON:-72.50219837</t>
  </si>
  <si>
    <t>Sector Suyocuyoc ccochayoc</t>
  </si>
  <si>
    <t>Nayda yapo Amao</t>
  </si>
  <si>
    <t>LAT:-12.6135899,LON:-72.61760354</t>
  </si>
  <si>
    <t>Sector bombohuactana</t>
  </si>
  <si>
    <t>Quintana Toribio Felipe</t>
  </si>
  <si>
    <t>LAT:-12.6645257,LON:-72.47781678</t>
  </si>
  <si>
    <t>Huayanay Paraiso</t>
  </si>
  <si>
    <t>LAT:-12.73097956,LON:-72.5349370</t>
  </si>
  <si>
    <t>Almanza Tocre Yenifer</t>
  </si>
  <si>
    <t xml:space="preserve">Árboles Frutales </t>
  </si>
  <si>
    <t>LAT:-126646467,LON:-72.47793999</t>
  </si>
  <si>
    <t>Sector lorohuachana</t>
  </si>
  <si>
    <t>Aranibar Huaman Mario</t>
  </si>
  <si>
    <t>LAT:-12.58822452,LON:-72.82317254</t>
  </si>
  <si>
    <t>Sector/ Pichari</t>
  </si>
  <si>
    <t xml:space="preserve">Maracana </t>
  </si>
  <si>
    <t>Fredy Regaño Alarcon</t>
  </si>
  <si>
    <t>LAT: -12.480750, LON: -72.783180</t>
  </si>
  <si>
    <t>Sector/ Pispita</t>
  </si>
  <si>
    <t>Richard Cristhian Contreras Segovia</t>
  </si>
  <si>
    <t xml:space="preserve">Cacao y Paco </t>
  </si>
  <si>
    <t>LAT: -12.758357, LON: -72.578709</t>
  </si>
  <si>
    <t>Caserio/ Calpampa</t>
  </si>
  <si>
    <t>Efrain Hilares Paja</t>
  </si>
  <si>
    <t xml:space="preserve">cacao </t>
  </si>
  <si>
    <t>LAT: -12.769319, LON: -72.575778</t>
  </si>
  <si>
    <t>Sector/ San Agustin</t>
  </si>
  <si>
    <t>Magaret Aymachoque Ccahua</t>
  </si>
  <si>
    <t>LAT: -12.756229, LON: -72.581614</t>
  </si>
  <si>
    <t>Alto Rosalinas/Calaminayoc</t>
  </si>
  <si>
    <t>Barcena Usca Alfredo</t>
  </si>
  <si>
    <t>LAT: -12.645953, LON: -72.689614</t>
  </si>
  <si>
    <t>Lucmapampa Chaupimayo Santa Teresa</t>
  </si>
  <si>
    <t>Champi Aranzabal Vilma</t>
  </si>
  <si>
    <t>LAT: -13.041039, LON: -72.697408</t>
  </si>
  <si>
    <t>Maranura</t>
  </si>
  <si>
    <t xml:space="preserve">Sector Chinche </t>
  </si>
  <si>
    <t>Lozano Ninantay Griselda</t>
  </si>
  <si>
    <t>LAT: -12.968657, LON: -72.656492</t>
  </si>
  <si>
    <t xml:space="preserve">Sector moyomonte alto </t>
  </si>
  <si>
    <t>Arias Huaman Milagrito Roxana</t>
  </si>
  <si>
    <t>LAT: -12.959581, LON: -72.672316</t>
  </si>
  <si>
    <t>Sectoe Uchumayo</t>
  </si>
  <si>
    <t>Valdeiglesia Arias Misuri Corria</t>
  </si>
  <si>
    <t>LAT: -12.959581, LON: -72.672297</t>
  </si>
  <si>
    <t>Dorminduyoc</t>
  </si>
  <si>
    <t>Ramos Diaz Pilar</t>
  </si>
  <si>
    <t>LAT:-12.7815000,LON:-72.6301000</t>
  </si>
  <si>
    <t>Huayanay alta</t>
  </si>
  <si>
    <t>Quispe Ttito Yony</t>
  </si>
  <si>
    <t>LAT:-12.82350,LON:-72.64370</t>
  </si>
  <si>
    <t>EDAD</t>
  </si>
  <si>
    <t>Maribel Delgado Concha</t>
  </si>
  <si>
    <t>sector Yavero Chico</t>
  </si>
  <si>
    <t>LAT:-12.77375555, LON:-72.6705336</t>
  </si>
  <si>
    <t>Escobar Carhuaslla Beatriz</t>
  </si>
  <si>
    <t>Sector lorohuachana alto</t>
  </si>
  <si>
    <t>Escobedo Valenzuela Yamil Brahan</t>
  </si>
  <si>
    <t>LAT:-12.59899197,LON:-72.53308441</t>
  </si>
  <si>
    <t>Zona Chonta</t>
  </si>
  <si>
    <t>Saire Farfan Washington</t>
  </si>
  <si>
    <t>LAT:-13.62258841,LON:-72.54998739</t>
  </si>
  <si>
    <t>Zona Alfamayo</t>
  </si>
  <si>
    <t>Serrano Alfaro Edie Yamil</t>
  </si>
  <si>
    <t>LAT:-12.8335504, LON:-72.66141491</t>
  </si>
  <si>
    <t>Zona Achupallayoc</t>
  </si>
  <si>
    <t>LAT:-12.77710678,LON:-72.59974897</t>
  </si>
  <si>
    <t>Sector Huaynay alta</t>
  </si>
  <si>
    <t>Rimayhuaman Yupanqui Victoria</t>
  </si>
  <si>
    <t>LAT:-12.73326781,LON:-72.5727357</t>
  </si>
  <si>
    <t>LAT:-12.77378278,LON:-72.67051751</t>
  </si>
  <si>
    <t>Zona Belen Pata</t>
  </si>
  <si>
    <t>Viza Quispe Escolastica</t>
  </si>
  <si>
    <t>LAT:-1277657488,LON:-72.66837472</t>
  </si>
  <si>
    <t>Yavero Chico</t>
  </si>
  <si>
    <t>Bellido Hancco Manuel Alfredo</t>
  </si>
  <si>
    <t>LAT:-12.66481738,LON:-72.64438066</t>
  </si>
  <si>
    <t>echarate</t>
  </si>
  <si>
    <t>Sector de Ivanqui Palma Real</t>
  </si>
  <si>
    <t>Manaccasa Ttito Juan Carlos</t>
  </si>
  <si>
    <t>LAT.:-12.5912 , LON:-72.7237</t>
  </si>
  <si>
    <t>Etiquetas de fila</t>
  </si>
  <si>
    <t>Total general</t>
  </si>
  <si>
    <t>Suma de MONTO DEL CRÉDITO (S/.) (8)</t>
  </si>
  <si>
    <t xml:space="preserve">Sector Cocabambilla </t>
  </si>
  <si>
    <t>KELLY Fernandez Challco</t>
  </si>
  <si>
    <t>LAT:-12.6154073, LON:-72.5502189</t>
  </si>
  <si>
    <t>(en blanco)</t>
  </si>
  <si>
    <t>Cuenta de NUMERO</t>
  </si>
  <si>
    <t>Suma de ÁREA A CULTIVAR (HA) (19)</t>
  </si>
  <si>
    <t>(Todas)</t>
  </si>
  <si>
    <t>Calca</t>
  </si>
  <si>
    <r>
      <t>Roman  Quispe Cristobal</t>
    </r>
    <r>
      <rPr>
        <sz val="11"/>
        <color rgb="FF000000"/>
        <rFont val="Calibri"/>
        <family val="2"/>
        <scheme val="minor"/>
      </rPr>
      <t xml:space="preserve"> </t>
    </r>
  </si>
  <si>
    <r>
      <t>Noa Checca Alejandrina</t>
    </r>
    <r>
      <rPr>
        <sz val="11"/>
        <color rgb="FF000000"/>
        <rFont val="Calibri"/>
        <family val="2"/>
        <scheme val="minor"/>
      </rPr>
      <t xml:space="preserve"> </t>
    </r>
  </si>
  <si>
    <t>DISTRITO</t>
  </si>
  <si>
    <t>N° DE CLIENTES</t>
  </si>
  <si>
    <t>MONTO DESEMBOLSADO</t>
  </si>
  <si>
    <t>HECTARIAS FINANCIADAS</t>
  </si>
  <si>
    <t>TOTAL</t>
  </si>
  <si>
    <t>Cuenta de NOMBRES Y APELLIDOS DEL CLIENTE (6)</t>
  </si>
  <si>
    <t>AGENCIAS</t>
  </si>
  <si>
    <t>CLIENTES DESEMBOLZADOS</t>
  </si>
  <si>
    <t>MONTO DESEMBOLZADO</t>
  </si>
  <si>
    <t>CLIENTES NUEVOS</t>
  </si>
  <si>
    <t>CLIENTES RECURRENTES</t>
  </si>
  <si>
    <t>altura</t>
  </si>
  <si>
    <t>Ocobamba</t>
  </si>
  <si>
    <t>Centro poblado Ivochote</t>
  </si>
  <si>
    <r>
      <t>ALVIZ QUISPE RENE</t>
    </r>
    <r>
      <rPr>
        <sz val="12"/>
        <color rgb="FF000000"/>
        <rFont val="Tahoma"/>
        <family val="2"/>
      </rPr>
      <t xml:space="preserve"> </t>
    </r>
  </si>
  <si>
    <t>LAT:-12.63693538, LON:-72.71498407</t>
  </si>
  <si>
    <r>
      <t>RENE HUAMANHUILLCA BAEZ</t>
    </r>
    <r>
      <rPr>
        <sz val="12"/>
        <color rgb="FF000000"/>
        <rFont val="Tahoma"/>
        <family val="2"/>
      </rPr>
      <t xml:space="preserve"> </t>
    </r>
  </si>
  <si>
    <t>Caviedes Ceballos Florentina</t>
  </si>
  <si>
    <t>Lorohuachana alta</t>
  </si>
  <si>
    <t>LAT:-12.59902203,LON:-72.53311023</t>
  </si>
  <si>
    <t>La Convencion</t>
  </si>
  <si>
    <t>Centro Poblado Illapani Palma Real</t>
  </si>
  <si>
    <t>Sicos Pacheco Lucy</t>
  </si>
  <si>
    <t xml:space="preserve">frutas, café </t>
  </si>
  <si>
    <t>LAT:-12.6188559, LON:-72.81180211</t>
  </si>
  <si>
    <t>Escalante Banda Eva</t>
  </si>
  <si>
    <t>LAT:-12.65235857,LON:-72.72332233</t>
  </si>
  <si>
    <t>Pineda Garcia Lennin</t>
  </si>
  <si>
    <t>Sector de sahuayaco</t>
  </si>
  <si>
    <t>citricos, café</t>
  </si>
  <si>
    <t>LAT:-12.41505632,LON:-72.312151</t>
  </si>
  <si>
    <t>Leoncio Ccapatinta Aguirre</t>
  </si>
  <si>
    <t>Sector Calca Pampa</t>
  </si>
  <si>
    <t>LAT:-12.63693538,LON:-72.7149840</t>
  </si>
  <si>
    <t>Ernestina llano Quispe</t>
  </si>
  <si>
    <t>LAT:-12.59902975, LON:-72.53315332</t>
  </si>
  <si>
    <t>Marcelina Lima Nuñez</t>
  </si>
  <si>
    <t>LAT:-12.8990574, LON:-72.75070091</t>
  </si>
  <si>
    <t>LAT:-12.89792536,LON:-72.7616069</t>
  </si>
  <si>
    <t>Lucana Nuñez Augusta</t>
  </si>
  <si>
    <t>Sector Esperanza</t>
  </si>
  <si>
    <t>LAT:-12.66508472,LON:-72.6430579</t>
  </si>
  <si>
    <t>Huaman Llancay Yasmina</t>
  </si>
  <si>
    <t>Bezaño Tarco Inocencia</t>
  </si>
  <si>
    <t>C.P Echarate</t>
  </si>
  <si>
    <t>LAT:-12.54558258,LON:-72.66544759</t>
  </si>
  <si>
    <t>sector de sarahuasi</t>
  </si>
  <si>
    <t>LAT:12.64320748, LON:- 72.70878094</t>
  </si>
  <si>
    <t>URB. NUEVO AMANECER - PALMA REAL</t>
  </si>
  <si>
    <t>cesar vallejo anexo</t>
  </si>
  <si>
    <t>maranura</t>
  </si>
  <si>
    <t>sector chaullay bajo</t>
  </si>
  <si>
    <t>LAT:12.83355785S, LON:72.66142217</t>
  </si>
  <si>
    <t>SECTOR SANTA ISABEL</t>
  </si>
  <si>
    <t>ROMAN SERRUDO ANGELICA</t>
  </si>
  <si>
    <t>24 MESES</t>
  </si>
  <si>
    <t>CAPITAL DE TRABAJO</t>
  </si>
  <si>
    <t>PRODUCCION DE CAFÉ</t>
  </si>
  <si>
    <t>MICROEMPRESA</t>
  </si>
  <si>
    <t>LAT:-12.6584652 LON: -72.7452253</t>
  </si>
  <si>
    <t>RECURRENTE</t>
  </si>
  <si>
    <t>MAMANI LABRA APARICIO</t>
  </si>
  <si>
    <t>18 MESES</t>
  </si>
  <si>
    <t>LAT:-12.6568104 LON:-72.74546603</t>
  </si>
  <si>
    <t>PALMA REAL</t>
  </si>
  <si>
    <t>CHAVEZ LAGUNA ROBERTO</t>
  </si>
  <si>
    <t>12 MESES</t>
  </si>
  <si>
    <t>PRODUCCION DE CAFÉ Y CACAO</t>
  </si>
  <si>
    <t>LAT:-12.65689745 LON:-72.7421371</t>
  </si>
  <si>
    <t>AGUA DULCE</t>
  </si>
  <si>
    <t>DEYVIS TELLO GRANDEZ</t>
  </si>
  <si>
    <t>LAT:-12.67017769 LON:-72.6466463</t>
  </si>
  <si>
    <t>NUEVO</t>
  </si>
  <si>
    <t xml:space="preserve">Quebrada Honda </t>
  </si>
  <si>
    <t xml:space="preserve">CACERES ESPINOZA MELCHORA </t>
  </si>
  <si>
    <t>48 MESES</t>
  </si>
  <si>
    <t>ACTIVO FIJO</t>
  </si>
  <si>
    <t>LAT:-12.661928 LON:-72.307510</t>
  </si>
  <si>
    <t>KITENI</t>
  </si>
  <si>
    <t>HUISA OJEDA JUSTINIANO</t>
  </si>
  <si>
    <t>LAT:-12.626323 LON:-73.029689</t>
  </si>
  <si>
    <t>HUISA VEGA MARUJA</t>
  </si>
  <si>
    <t>LAT:-12.629125 LON:-73.029887</t>
  </si>
  <si>
    <t>SECTOR CALCAPAMPA</t>
  </si>
  <si>
    <t>CCAPATINTA AGUIRRE LEONCIO</t>
  </si>
  <si>
    <t>36 MESES</t>
  </si>
  <si>
    <t>LAT:-13.13978523 LON:-72.60054519</t>
  </si>
  <si>
    <t>SECTOR DE CAMPANAYOC</t>
  </si>
  <si>
    <t>CONTRERAS HUAMAN JOSEPH SHEDDY</t>
  </si>
  <si>
    <t>LAT:-12.88569131 LON:-72.73077122</t>
  </si>
  <si>
    <t>SECTOR KAPASHIARI</t>
  </si>
  <si>
    <t>CACERES ARIAS ERASMO</t>
  </si>
  <si>
    <t>6 MESES</t>
  </si>
  <si>
    <t>LAT:-12.62906982 LON:-72.84959239</t>
  </si>
  <si>
    <t>SECTOR OTUMA</t>
  </si>
  <si>
    <t>BOCANGEL PUMACAYO RICARDO</t>
  </si>
  <si>
    <t>30 MESES</t>
  </si>
  <si>
    <t>LAT:-12.8946 LON:-72.4123766</t>
  </si>
  <si>
    <t>SECTOR PICHARI MARGEN IZQUIERDA</t>
  </si>
  <si>
    <t>RUTH MERY QUISPE ALEJANDRO</t>
  </si>
  <si>
    <t>3 MESES</t>
  </si>
  <si>
    <t>LAT:-12.449820 LON:-72.868243</t>
  </si>
  <si>
    <t xml:space="preserve">SECTOR CHAULLAY ALTO </t>
  </si>
  <si>
    <t>HUMBERTO HUALLPACUNA CONSA</t>
  </si>
  <si>
    <t>LAT:-12.9965 LON:-72.6234</t>
  </si>
  <si>
    <t>SECTOR KAMUNASHIARI S/N</t>
  </si>
  <si>
    <t>OBANDO SANCHEZ JAVIER</t>
  </si>
  <si>
    <t>LAT:-12.643475 LON:-73.017681</t>
  </si>
  <si>
    <t>KEPASHIATO-CIGAQUIATO</t>
  </si>
  <si>
    <t>CHIRINOS PEÑA LIVIA</t>
  </si>
  <si>
    <t>LAT:-12.640893 LON:-73.196432</t>
  </si>
  <si>
    <t>RETAMAYOC</t>
  </si>
  <si>
    <t>VILCA CACERES EULOGIO</t>
  </si>
  <si>
    <t>LAT:-12.830822 LON:-73.131670</t>
  </si>
  <si>
    <t>SECTOR DE ALTO PUTUCUSI</t>
  </si>
  <si>
    <t>HUILLCA AYALA RAUL</t>
  </si>
  <si>
    <t>13 MESES</t>
  </si>
  <si>
    <t>LAT:-12.64772742 LON:-72.4836289</t>
  </si>
  <si>
    <t xml:space="preserve">SECTOR SULLUCUTOC </t>
  </si>
  <si>
    <t>VELASQUEZ PARHUAYO ELOY</t>
  </si>
  <si>
    <t>LAT:-12.64721881 LON:-72.61391403</t>
  </si>
  <si>
    <t>SECTOR ANCHIHUAY</t>
  </si>
  <si>
    <t>CENTENO ÑAHUI DARCY</t>
  </si>
  <si>
    <t>LAT:-12.563441367 LON:-72.504217</t>
  </si>
  <si>
    <t>MEJIA CCOLLANA ESTEBAN</t>
  </si>
  <si>
    <t>PEQUEÑA EMPRESA</t>
  </si>
  <si>
    <t>LAT:-12.56445855 LON:-72.50302142</t>
  </si>
  <si>
    <t>SECTOR PISTICA</t>
  </si>
  <si>
    <t>CRUZ FARFAN ANGELICA</t>
  </si>
  <si>
    <t>8 MESES</t>
  </si>
  <si>
    <t>LAT:-12.7754105 LON:-72.60240191</t>
  </si>
  <si>
    <t>SECTOR CHACO ROSARIO</t>
  </si>
  <si>
    <t>PINO MARTINEZ FRANCISCO</t>
  </si>
  <si>
    <t>LAT:-1264726102 LON:-72.61390676</t>
  </si>
  <si>
    <t>SECTOR CONDORMOCO</t>
  </si>
  <si>
    <t>ESPINOZA HUAMAN VILLENA FORTUNATA</t>
  </si>
  <si>
    <t>LAT:-12.6122723 LON:-72.59991534</t>
  </si>
  <si>
    <t>LUNA OCHOA MARIO</t>
  </si>
  <si>
    <t>LAT:-12.772826 LON:-72.58795</t>
  </si>
  <si>
    <t>ILLA AGUADO JULIO</t>
  </si>
  <si>
    <t>LAT:-12.61828261 LON:-72.81234866</t>
  </si>
  <si>
    <t>MUÑOZ ARADIVI RONAL</t>
  </si>
  <si>
    <t>LAT:-12.90758275 LON:-72.72589775</t>
  </si>
  <si>
    <t>SECTOR OCCOPAMPA</t>
  </si>
  <si>
    <t>HERRERA APAZA ELIZABETH</t>
  </si>
  <si>
    <t>LAT:-12.81889368 LON:-72.61300944</t>
  </si>
  <si>
    <t xml:space="preserve">SECTOR CENTRO POBLADO PAMPA CONCEPCION </t>
  </si>
  <si>
    <t>LAZO LAZO PAUL</t>
  </si>
  <si>
    <t>LAT:-13.13978189 LON:-72.60063466</t>
  </si>
  <si>
    <t>SECTOR HUAYOPATA RODEO</t>
  </si>
  <si>
    <t>VALDIVIA DE VALDIGLESIAS LILIA</t>
  </si>
  <si>
    <t>LAT:-12.76847121 LON:-72.63274474</t>
  </si>
  <si>
    <t>PALMA REAL SECTOR IVANQUI</t>
  </si>
  <si>
    <t>QUISPE CONDORI MIGUEL</t>
  </si>
  <si>
    <t>LAT:-12.90758261 LON:-72.72588768</t>
  </si>
  <si>
    <t>ANCHIHUAY BAJO</t>
  </si>
  <si>
    <t>NUÑEZ QUISPE SAMUEL ENRIQUE</t>
  </si>
  <si>
    <t>LAT:-12.50845815 LON:-72.61849041</t>
  </si>
  <si>
    <t>SECTOR DE SULLUCUYOC</t>
  </si>
  <si>
    <t>VASQUEZ GUZMAN MARCOS</t>
  </si>
  <si>
    <t>LAT:-12.6508246 LON:-72.71790946</t>
  </si>
  <si>
    <t>SECTOR ICHIQUIATO BAJO</t>
  </si>
  <si>
    <t>ENCALADA SANCHEZ RENEE</t>
  </si>
  <si>
    <t>LAT:-12.65850082 LON:-72.74520563</t>
  </si>
  <si>
    <t>PALMA REAL ILLAPANI</t>
  </si>
  <si>
    <t>TELLO GRANDEZ DEYVIS</t>
  </si>
  <si>
    <t>LAT:-12.76847136 LON:-72.6327457</t>
  </si>
  <si>
    <t>TALANCATO</t>
  </si>
  <si>
    <t>SARMIENTO ALVAREZ DELIA</t>
  </si>
  <si>
    <t>LAT:-12.72987084 LON:-72.53740227</t>
  </si>
  <si>
    <t>SECTOR PUERTO CARMEN</t>
  </si>
  <si>
    <t>PALOMINO ACEBEDO GERMAN</t>
  </si>
  <si>
    <t>SECTOR PUENTE ECHARATE</t>
  </si>
  <si>
    <t>HUILLCA ARRIAGA FORTUNATA</t>
  </si>
  <si>
    <t>LAT:-12.627405855 LON:-72.97157693</t>
  </si>
  <si>
    <t>KUMPIRUSHIATO</t>
  </si>
  <si>
    <t>LIMA RAMIREZ JUAN</t>
  </si>
  <si>
    <t>LAT:-12.573441360 LON:-73.07605919</t>
  </si>
  <si>
    <t>ITARIATO</t>
  </si>
  <si>
    <t>SOSA CONDORI SION</t>
  </si>
  <si>
    <t>LAT:-12.601509754 LON:-73.13710785</t>
  </si>
  <si>
    <t>MOLINA VARGAS JHON</t>
  </si>
  <si>
    <t>LAT:-12.654943 LON:-73.136587</t>
  </si>
  <si>
    <t>Yanatile</t>
  </si>
  <si>
    <t>ocobamba</t>
  </si>
  <si>
    <t xml:space="preserve">Roman  Quispe Cristobal </t>
  </si>
  <si>
    <t xml:space="preserve">Noa Checca Alejandrina </t>
  </si>
  <si>
    <t xml:space="preserve">ALVIZ QUISPE RENE </t>
  </si>
  <si>
    <t xml:space="preserve">RENE HUAMANHUILLCA BAEZ </t>
  </si>
  <si>
    <t>N° DE OPERACIONES</t>
  </si>
  <si>
    <t>PAGARE</t>
  </si>
  <si>
    <t>106052041005423546</t>
  </si>
  <si>
    <t>106052041005423724</t>
  </si>
  <si>
    <t>106052041005423635</t>
  </si>
  <si>
    <t>106052041005423309</t>
  </si>
  <si>
    <t>106652041003700020</t>
  </si>
  <si>
    <t>106332041004356560</t>
  </si>
  <si>
    <t>106332041004356659</t>
  </si>
  <si>
    <t>106052041005425867</t>
  </si>
  <si>
    <t>106052041005425581</t>
  </si>
  <si>
    <t xml:space="preserve"> 106332041004356977</t>
  </si>
  <si>
    <t>106652041003697983</t>
  </si>
  <si>
    <t>106332041004357655</t>
  </si>
  <si>
    <t>106052041005426456</t>
  </si>
  <si>
    <t xml:space="preserve"> 106332041004357043</t>
  </si>
  <si>
    <t>106332041004357086</t>
  </si>
  <si>
    <t>106332041004357060</t>
  </si>
  <si>
    <t>106052041005425395</t>
  </si>
  <si>
    <t>106052041005425336</t>
  </si>
  <si>
    <t>106052041005425352</t>
  </si>
  <si>
    <t>106052041005425204</t>
  </si>
  <si>
    <t>106052041005425271</t>
  </si>
  <si>
    <t>106052041005425239</t>
  </si>
  <si>
    <t>106052041005425166</t>
  </si>
  <si>
    <t>106052041005425093</t>
  </si>
  <si>
    <t>106052041005425077</t>
  </si>
  <si>
    <t>106052041005428190</t>
  </si>
  <si>
    <t>106052041005424755</t>
  </si>
  <si>
    <t>106052041005424186</t>
  </si>
  <si>
    <t>106052041005423562</t>
  </si>
  <si>
    <t>106052041005426901</t>
  </si>
  <si>
    <t>106052041005423872</t>
  </si>
  <si>
    <t>106052041005423937</t>
  </si>
  <si>
    <t>106052041005423503</t>
  </si>
  <si>
    <t>106052041005422957</t>
  </si>
  <si>
    <t>106052041005422779</t>
  </si>
  <si>
    <t>106332041004358848</t>
  </si>
  <si>
    <t>106332041004358244</t>
  </si>
  <si>
    <t xml:space="preserve"> 106332041004357167</t>
  </si>
  <si>
    <t>106332041004358511</t>
  </si>
  <si>
    <t>DISTRITO (3)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</si>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</sst>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0.0%"/>
    <numFmt numFmtId="165" formatCode="&quot;S/&quot;\ #,##0.00"/>
    <numFmt numFmtId="166" formatCode="&quot;S/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rgb="FF000000"/>
      <name val="Tahoma"/>
      <family val="2"/>
    </font>
    <font>
      <sz val="11"/>
      <color theme="0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5" fillId="2" borderId="1" xfId="4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5" fillId="2" borderId="1" xfId="4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10" fontId="0" fillId="2" borderId="1" xfId="1" applyNumberFormat="1" applyFont="1" applyFill="1" applyBorder="1" applyAlignment="1">
      <alignment horizontal="left"/>
    </xf>
    <xf numFmtId="0" fontId="5" fillId="2" borderId="1" xfId="4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applyFont="1" applyFill="1" applyBorder="1"/>
    <xf numFmtId="165" fontId="4" fillId="3" borderId="2" xfId="0" applyNumberFormat="1" applyFont="1" applyFill="1" applyBorder="1"/>
    <xf numFmtId="0" fontId="4" fillId="3" borderId="6" xfId="0" applyFont="1" applyFill="1" applyBorder="1"/>
    <xf numFmtId="0" fontId="0" fillId="2" borderId="3" xfId="0" applyFill="1" applyBorder="1"/>
    <xf numFmtId="165" fontId="0" fillId="2" borderId="7" xfId="0" applyNumberFormat="1" applyFill="1" applyBorder="1"/>
    <xf numFmtId="0" fontId="0" fillId="2" borderId="4" xfId="0" applyFill="1" applyBorder="1"/>
    <xf numFmtId="0" fontId="4" fillId="3" borderId="2" xfId="0" applyFont="1" applyFill="1" applyBorder="1"/>
    <xf numFmtId="0" fontId="0" fillId="2" borderId="7" xfId="0" applyFill="1" applyBorder="1"/>
    <xf numFmtId="0" fontId="4" fillId="3" borderId="4" xfId="0" applyFont="1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horizontal="left"/>
    </xf>
    <xf numFmtId="0" fontId="0" fillId="2" borderId="0" xfId="0" applyFont="1" applyFill="1" applyAlignment="1">
      <alignment horizontal="left"/>
    </xf>
    <xf numFmtId="14" fontId="0" fillId="2" borderId="1" xfId="0" applyNumberFormat="1" applyFont="1" applyFill="1" applyBorder="1" applyAlignment="1">
      <alignment horizontal="left"/>
    </xf>
    <xf numFmtId="164" fontId="0" fillId="2" borderId="1" xfId="1" applyNumberFormat="1" applyFont="1" applyFill="1" applyBorder="1" applyAlignment="1">
      <alignment horizontal="left"/>
    </xf>
    <xf numFmtId="14" fontId="5" fillId="2" borderId="1" xfId="4" applyNumberFormat="1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0" fontId="0" fillId="2" borderId="1" xfId="0" applyNumberForma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166" fontId="0" fillId="2" borderId="0" xfId="0" applyNumberFormat="1" applyFont="1" applyFill="1" applyAlignment="1">
      <alignment horizontal="left"/>
    </xf>
    <xf numFmtId="14" fontId="0" fillId="2" borderId="0" xfId="0" applyNumberFormat="1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166" fontId="2" fillId="4" borderId="1" xfId="0" applyNumberFormat="1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164" fontId="2" fillId="4" borderId="1" xfId="1" applyNumberFormat="1" applyFont="1" applyFill="1" applyBorder="1" applyAlignment="1">
      <alignment horizontal="left"/>
    </xf>
    <xf numFmtId="4" fontId="0" fillId="2" borderId="1" xfId="0" applyNumberFormat="1" applyFont="1" applyFill="1" applyBorder="1" applyAlignment="1">
      <alignment horizontal="left"/>
    </xf>
    <xf numFmtId="4" fontId="5" fillId="2" borderId="1" xfId="4" applyNumberFormat="1" applyFont="1" applyFill="1" applyBorder="1" applyAlignment="1">
      <alignment horizontal="left"/>
    </xf>
    <xf numFmtId="4" fontId="0" fillId="2" borderId="1" xfId="0" applyNumberForma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165" fontId="0" fillId="0" borderId="0" xfId="0" applyNumberFormat="1"/>
    <xf numFmtId="49" fontId="0" fillId="0" borderId="0" xfId="0" applyNumberFormat="1"/>
    <xf numFmtId="0" fontId="0" fillId="0" borderId="1" xfId="0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165" fontId="0" fillId="0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0" fontId="0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Fill="1" applyBorder="1"/>
    <xf numFmtId="49" fontId="0" fillId="0" borderId="0" xfId="0" applyNumberFormat="1" applyBorder="1"/>
    <xf numFmtId="0" fontId="0" fillId="2" borderId="0" xfId="0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4" fontId="0" fillId="2" borderId="8" xfId="0" applyNumberFormat="1" applyFill="1" applyBorder="1" applyAlignment="1">
      <alignment horizontal="left"/>
    </xf>
    <xf numFmtId="4" fontId="0" fillId="2" borderId="9" xfId="0" applyNumberFormat="1" applyFill="1" applyBorder="1" applyAlignment="1">
      <alignment horizontal="left"/>
    </xf>
    <xf numFmtId="166" fontId="0" fillId="2" borderId="0" xfId="0" applyNumberFormat="1" applyFont="1" applyFill="1" applyBorder="1" applyAlignment="1">
      <alignment horizontal="left"/>
    </xf>
    <xf numFmtId="49" fontId="0" fillId="0" borderId="8" xfId="0" applyNumberFormat="1" applyFill="1" applyBorder="1"/>
    <xf numFmtId="14" fontId="0" fillId="2" borderId="0" xfId="0" applyNumberFormat="1" applyFill="1" applyBorder="1" applyAlignment="1">
      <alignment horizontal="left"/>
    </xf>
    <xf numFmtId="14" fontId="0" fillId="2" borderId="9" xfId="0" applyNumberFormat="1" applyFill="1" applyBorder="1" applyAlignment="1">
      <alignment horizontal="left"/>
    </xf>
    <xf numFmtId="10" fontId="0" fillId="2" borderId="8" xfId="0" applyNumberFormat="1" applyFill="1" applyBorder="1" applyAlignment="1">
      <alignment horizontal="left"/>
    </xf>
    <xf numFmtId="10" fontId="0" fillId="2" borderId="9" xfId="1" applyNumberFormat="1" applyFont="1" applyFill="1" applyBorder="1" applyAlignment="1">
      <alignment horizontal="left"/>
    </xf>
  </cellXfs>
  <cellStyles count="5">
    <cellStyle name="Moneda 2" xfId="2" xr:uid="{00000000-0005-0000-0000-000000000000}"/>
    <cellStyle name="Normal" xfId="0" builtinId="0"/>
    <cellStyle name="Normal 2" xfId="3" xr:uid="{00000000-0005-0000-0000-000002000000}"/>
    <cellStyle name="Normal 3" xfId="4" xr:uid="{00000000-0005-0000-0000-000003000000}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41.772196990743" createdVersion="6" refreshedVersion="6" minRefreshableVersion="3" recordCount="61" xr:uid="{00000000-000A-0000-FFFF-FFFF00000000}">
  <cacheSource type="worksheet">
    <worksheetSource ref="A1:AC62" sheet="COLOCACIONES_BIOCREDITOS"/>
  </cacheSource>
  <cacheFields count="35">
    <cacheField name="NUMERO" numFmtId="0">
      <sharedItems containsSemiMixedTypes="0" containsString="0" containsNumber="1" containsInteger="1" minValue="1" maxValue="62"/>
    </cacheField>
    <cacheField name="REGION (1)" numFmtId="0">
      <sharedItems count="1">
        <s v="Cusco "/>
      </sharedItems>
    </cacheField>
    <cacheField name="PROVINCIA (2)" numFmtId="0">
      <sharedItems count="1">
        <s v="Quillabamba"/>
      </sharedItems>
    </cacheField>
    <cacheField name="DISTRITO (3) " numFmtId="0">
      <sharedItems count="11">
        <s v="Quellouno"/>
        <s v="Echarate"/>
        <s v="Santa Teresa"/>
        <s v="Maranura"/>
        <s v="Santa Ana"/>
        <s v="Ocobamb a"/>
        <s v="Kiteni"/>
        <s v="Echarati"/>
        <s v="Vilcabamba"/>
        <s v="Huayopata"/>
        <s v="huyro"/>
      </sharedItems>
    </cacheField>
    <cacheField name="CASERIO/SECTOR (4) " numFmtId="0">
      <sharedItems/>
    </cacheField>
    <cacheField name="AGENCIA ENTIDAD FINANCIERA (5)" numFmtId="0">
      <sharedItems count="3">
        <s v="Maracana "/>
        <s v="Quillabamba"/>
        <s v="Quebrada"/>
      </sharedItems>
    </cacheField>
    <cacheField name="NOMBRES Y APELLIDOS DEL CLIENTE (6)" numFmtId="0">
      <sharedItems/>
    </cacheField>
    <cacheField name="EDAD" numFmtId="0">
      <sharedItems containsSemiMixedTypes="0" containsString="0" containsNumber="1" containsInteger="1" minValue="23" maxValue="65"/>
    </cacheField>
    <cacheField name="SEXO PROPIETARIO DEL NEGOCIO (7)" numFmtId="0">
      <sharedItems/>
    </cacheField>
    <cacheField name="MONTO DEL CRÉDITO (S/.) (8)" numFmtId="0">
      <sharedItems containsSemiMixedTypes="0" containsString="0" containsNumber="1" containsInteger="1" minValue="500" maxValue="63000" count="17">
        <n v="50000"/>
        <n v="3000"/>
        <n v="20000"/>
        <n v="1000"/>
        <n v="30000"/>
        <n v="5000"/>
        <n v="2500"/>
        <n v="2000"/>
        <n v="8000"/>
        <n v="15000"/>
        <n v="10000"/>
        <n v="6000"/>
        <n v="63000"/>
        <n v="1500"/>
        <n v="4000"/>
        <n v="7000"/>
        <n v="500"/>
      </sharedItems>
    </cacheField>
    <cacheField name="DNI/RUC (9)" numFmtId="0">
      <sharedItems containsSemiMixedTypes="0" containsString="0" containsNumber="1" containsInteger="1" minValue="10387241" maxValue="80401382"/>
    </cacheField>
    <cacheField name="FECHA DESEMBOLSO (10)" numFmtId="14">
      <sharedItems containsSemiMixedTypes="0" containsNonDate="0" containsDate="1" containsString="0" minDate="2023-01-05T00:00:00" maxDate="2024-05-22T00:00:00"/>
    </cacheField>
    <cacheField name="FECHA VENCIMIENTO (11)" numFmtId="14">
      <sharedItems containsSemiMixedTypes="0" containsNonDate="0" containsDate="1" containsString="0" minDate="2024-04-07T00:00:00" maxDate="2028-12-25T00:00:00"/>
    </cacheField>
    <cacheField name="DESTINO DEL CRÉDITO : ACTIVO FIJO / CAPITAL DE TRABAJO (12)" numFmtId="0">
      <sharedItems/>
    </cacheField>
    <cacheField name="ACTIVIDAD PRINCIPAL  DEL CLIENTE (13)" numFmtId="0">
      <sharedItems/>
    </cacheField>
    <cacheField name="ACTIVIDAD SECUNDARIA (14)" numFmtId="0">
      <sharedItems containsBlank="1"/>
    </cacheField>
    <cacheField name="TIPO DE CRÉDITO (15)" numFmtId="0">
      <sharedItems/>
    </cacheField>
    <cacheField name="TEA (16)" numFmtId="0">
      <sharedItems containsSemiMixedTypes="0" containsString="0" containsNumber="1" minValue="0.22409999999999999" maxValue="0.60650000000000004" count="31">
        <n v="0.26819999999999999"/>
        <n v="0.49009999999999998"/>
        <n v="0.28320000000000001"/>
        <n v="0.37669999999999998"/>
        <n v="0.25190000000000001"/>
        <n v="0.33069999999999999"/>
        <n v="0.37019999999999997"/>
        <n v="0.37690000000000001"/>
        <n v="0.36859999999999998"/>
        <n v="0.3448"/>
        <n v="0.2908"/>
        <n v="0.2742"/>
        <n v="0.25040000000000001"/>
        <n v="0.2802"/>
        <n v="0.3417"/>
        <n v="0.25340000000000001"/>
        <n v="0.2757"/>
        <n v="0.25629999999999997"/>
        <n v="0.26079999999999998"/>
        <n v="0.26519999999999999"/>
        <n v="0.26840000000000003"/>
        <n v="0.47289999999999999"/>
        <n v="0.33700000000000002"/>
        <n v="0.33229999999999998"/>
        <n v="0.4274"/>
        <n v="0.28770000000000001"/>
        <n v="0.434"/>
        <n v="0.32140000000000002"/>
        <n v="0.22409999999999999"/>
        <n v="0.60650000000000004"/>
        <n v="0.35270000000000001"/>
      </sharedItems>
    </cacheField>
    <cacheField name="COORDENADAS UTM (17)" numFmtId="0">
      <sharedItems/>
    </cacheField>
    <cacheField name="ÁREA TOTAL (HA) (18)" numFmtId="0">
      <sharedItems containsString="0" containsBlank="1" containsNumber="1" minValue="1" maxValue="28"/>
    </cacheField>
    <cacheField name="ÁREA A CULTIVAR (HA) (19)" numFmtId="0">
      <sharedItems containsString="0" containsBlank="1" containsNumber="1" minValue="1" maxValue="20"/>
    </cacheField>
    <cacheField name="PREDIO LIBRE DEFORESTACIÓN (20)" numFmtId="0">
      <sharedItems/>
    </cacheField>
    <cacheField name="PREDIO FUERA DE ZONAS DE ANP (21)" numFmtId="0">
      <sharedItems/>
    </cacheField>
    <cacheField name="PREDIO CON (SAF) (22)" numFmtId="0">
      <sharedItems/>
    </cacheField>
    <cacheField name="EDAD DEL SAF (23)" numFmtId="0">
      <sharedItems containsBlank="1" containsMixedTypes="1" containsNumber="1" containsInteger="1" minValue="4" maxValue="25"/>
    </cacheField>
    <cacheField name="USO DE ABONOS SOSTENIBLES (24)" numFmtId="0">
      <sharedItems/>
    </cacheField>
    <cacheField name="MANEJO INTEGRADO DE PLAGAS (25)" numFmtId="0">
      <sharedItems/>
    </cacheField>
    <cacheField name="NOMBRE COMPLETO ANALISTA (26)" numFmtId="0">
      <sharedItems/>
    </cacheField>
    <cacheField name="DNI ANALISTA (27)" numFmtId="0">
      <sharedItems containsString="0" containsBlank="1" containsNumber="1" containsInteger="1" minValue="46833208" maxValue="76125758"/>
    </cacheField>
    <cacheField name="CLIENTE  NUEVO (28)" numFmtId="0">
      <sharedItems/>
    </cacheField>
    <cacheField name="CLIENTE RECURRENTE (29)" numFmtId="0">
      <sharedItems/>
    </cacheField>
    <cacheField name="MONTO A PAGAR (30)" numFmtId="0">
      <sharedItems containsSemiMixedTypes="0" containsString="0" containsNumber="1" containsInteger="1" minValue="70" maxValue="120"/>
    </cacheField>
    <cacheField name="NUMERO DE CUENTA (31)" numFmtId="0">
      <sharedItems containsBlank="1"/>
    </cacheField>
    <cacheField name="CCI (CÓDIGO INTERBANCARIO) (32)" numFmtId="0">
      <sharedItems containsBlank="1"/>
    </cacheField>
    <cacheField name="ENTIDAD FINANCIERA (33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71.438047916665" createdVersion="6" refreshedVersion="6" minRefreshableVersion="3" recordCount="64" xr:uid="{00000000-000A-0000-FFFF-FFFF01000000}">
  <cacheSource type="worksheet">
    <worksheetSource ref="A1:AC1048576" sheet="COLOCACIONES_BIOCREDITOS"/>
  </cacheSource>
  <cacheFields count="35">
    <cacheField name="NUMERO" numFmtId="0">
      <sharedItems containsString="0" containsBlank="1" containsNumber="1" containsInteger="1" minValue="1" maxValue="63" count="6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m/>
      </sharedItems>
    </cacheField>
    <cacheField name="REGION (1)" numFmtId="0">
      <sharedItems containsBlank="1"/>
    </cacheField>
    <cacheField name="PROVINCIA (2)" numFmtId="0">
      <sharedItems containsBlank="1" count="2">
        <s v="Quillabamba"/>
        <m/>
      </sharedItems>
    </cacheField>
    <cacheField name="DISTRITO (3) " numFmtId="0">
      <sharedItems containsBlank="1" count="12">
        <s v="Quellouno"/>
        <s v="Echarate"/>
        <s v="Santa Teresa"/>
        <s v="Maranura"/>
        <s v="Santa Ana"/>
        <s v="Ocobamb a"/>
        <s v="Kiteni"/>
        <s v="Echarati"/>
        <s v="Vilcabamba"/>
        <s v="Huayopata"/>
        <s v="huyro"/>
        <m/>
      </sharedItems>
    </cacheField>
    <cacheField name="CASERIO/SECTOR (4) " numFmtId="0">
      <sharedItems containsBlank="1"/>
    </cacheField>
    <cacheField name="AGENCIA ENTIDAD FINANCIERA (5)" numFmtId="0">
      <sharedItems containsBlank="1" count="4">
        <s v="Maracana "/>
        <s v="Quillabamba"/>
        <s v="Quebrada"/>
        <m/>
      </sharedItems>
    </cacheField>
    <cacheField name="NOMBRES Y APELLIDOS DEL CLIENTE (6)" numFmtId="0">
      <sharedItems containsBlank="1"/>
    </cacheField>
    <cacheField name="EDAD" numFmtId="0">
      <sharedItems containsString="0" containsBlank="1" containsNumber="1" containsInteger="1" minValue="23" maxValue="65"/>
    </cacheField>
    <cacheField name="SEXO PROPIETARIO DEL NEGOCIO (7)" numFmtId="0">
      <sharedItems containsBlank="1" containsMixedTypes="1" containsNumber="1" containsInteger="1" minValue="62" maxValue="62"/>
    </cacheField>
    <cacheField name="MONTO DEL CRÉDITO (S/.) (8)" numFmtId="0">
      <sharedItems containsString="0" containsBlank="1" containsNumber="1" containsInteger="1" minValue="500" maxValue="741000"/>
    </cacheField>
    <cacheField name="DNI/RUC (9)" numFmtId="0">
      <sharedItems containsString="0" containsBlank="1" containsNumber="1" containsInteger="1" minValue="10387241" maxValue="80401382"/>
    </cacheField>
    <cacheField name="FECHA DESEMBOLSO (10)" numFmtId="14">
      <sharedItems containsNonDate="0" containsDate="1" containsString="0" containsBlank="1" minDate="2023-01-05T00:00:00" maxDate="2024-06-01T00:00:00"/>
    </cacheField>
    <cacheField name="FECHA VENCIMIENTO (11)" numFmtId="14">
      <sharedItems containsNonDate="0" containsDate="1" containsString="0" containsBlank="1" minDate="2024-04-07T00:00:00" maxDate="2028-12-25T00:00:00"/>
    </cacheField>
    <cacheField name="DESTINO DEL CRÉDITO : ACTIVO FIJO / CAPITAL DE TRABAJO (12)" numFmtId="0">
      <sharedItems containsBlank="1"/>
    </cacheField>
    <cacheField name="ACTIVIDAD PRINCIPAL  DEL CLIENTE (13)" numFmtId="0">
      <sharedItems containsBlank="1"/>
    </cacheField>
    <cacheField name="ACTIVIDAD SECUNDARIA (14)" numFmtId="0">
      <sharedItems containsBlank="1"/>
    </cacheField>
    <cacheField name="TIPO DE CRÉDITO (15)" numFmtId="0">
      <sharedItems containsBlank="1"/>
    </cacheField>
    <cacheField name="TEA (16)" numFmtId="0">
      <sharedItems containsString="0" containsBlank="1" containsNumber="1" minValue="0.22409999999999999" maxValue="0.60650000000000004" count="33">
        <n v="0.26819999999999999"/>
        <n v="0.49009999999999998"/>
        <n v="0.28320000000000001"/>
        <n v="0.37669999999999998"/>
        <n v="0.25190000000000001"/>
        <n v="0.33069999999999999"/>
        <n v="0.37019999999999997"/>
        <n v="0.37690000000000001"/>
        <n v="0.36859999999999998"/>
        <n v="0.3448"/>
        <n v="0.2908"/>
        <n v="0.2742"/>
        <n v="0.25040000000000001"/>
        <n v="0.2802"/>
        <n v="0.3417"/>
        <n v="0.25340000000000001"/>
        <n v="0.2757"/>
        <n v="0.25629999999999997"/>
        <n v="0.26079999999999998"/>
        <n v="0.26519999999999999"/>
        <n v="0.26840000000000003"/>
        <n v="0.47289999999999999"/>
        <n v="0.33700000000000002"/>
        <n v="0.33229999999999998"/>
        <n v="0.4274"/>
        <n v="0.28770000000000001"/>
        <n v="0.434"/>
        <n v="0.32140000000000002"/>
        <n v="0.22409999999999999"/>
        <n v="0.60650000000000004"/>
        <n v="0.35270000000000001"/>
        <n v="0.32924999999999993"/>
        <m/>
      </sharedItems>
    </cacheField>
    <cacheField name="COORDENADAS UTM (17)" numFmtId="0">
      <sharedItems containsBlank="1"/>
    </cacheField>
    <cacheField name="ÁREA TOTAL (HA) (18)" numFmtId="0">
      <sharedItems containsString="0" containsBlank="1" containsNumber="1" minValue="1" maxValue="28"/>
    </cacheField>
    <cacheField name="ÁREA A CULTIVAR (HA) (19)" numFmtId="0">
      <sharedItems containsString="0" containsBlank="1" containsNumber="1" minValue="1" maxValue="240"/>
    </cacheField>
    <cacheField name="PREDIO LIBRE DEFORESTACIÓN (20)" numFmtId="0">
      <sharedItems containsBlank="1"/>
    </cacheField>
    <cacheField name="PREDIO FUERA DE ZONAS DE ANP (21)" numFmtId="0">
      <sharedItems containsBlank="1"/>
    </cacheField>
    <cacheField name="PREDIO CON (SAF) (22)" numFmtId="0">
      <sharedItems containsBlank="1"/>
    </cacheField>
    <cacheField name="EDAD DEL SAF (23)" numFmtId="0">
      <sharedItems containsString="0" containsBlank="1" containsNumber="1" containsInteger="1" minValue="3" maxValue="25"/>
    </cacheField>
    <cacheField name="USO DE ABONOS SOSTENIBLES (24)" numFmtId="0">
      <sharedItems containsBlank="1"/>
    </cacheField>
    <cacheField name="MANEJO INTEGRADO DE PLAGAS (25)" numFmtId="0">
      <sharedItems containsBlank="1"/>
    </cacheField>
    <cacheField name="NOMBRE COMPLETO ANALISTA (26)" numFmtId="0">
      <sharedItems containsBlank="1"/>
    </cacheField>
    <cacheField name="DNI ANALISTA (27)" numFmtId="0">
      <sharedItems containsString="0" containsBlank="1" containsNumber="1" containsInteger="1" minValue="46833208" maxValue="76125758"/>
    </cacheField>
    <cacheField name="CLIENTE  NUEVO (28)" numFmtId="0">
      <sharedItems containsBlank="1" count="3">
        <s v="recurrente"/>
        <s v="nuevo"/>
        <m/>
      </sharedItems>
    </cacheField>
    <cacheField name="CLIENTE RECURRENTE (29)" numFmtId="0">
      <sharedItems containsBlank="1" count="4">
        <s v="si "/>
        <s v="no"/>
        <s v="si"/>
        <m/>
      </sharedItems>
    </cacheField>
    <cacheField name="MONTO A PAGAR (30)" numFmtId="0">
      <sharedItems containsString="0" containsBlank="1" containsNumber="1" containsInteger="1" minValue="70" maxValue="120"/>
    </cacheField>
    <cacheField name="NUMERO DE CUENTA (31)" numFmtId="0">
      <sharedItems containsBlank="1"/>
    </cacheField>
    <cacheField name="CCI (CÓDIGO INTERBANCARIO) (32)" numFmtId="0">
      <sharedItems containsBlank="1"/>
    </cacheField>
    <cacheField name="ENTIDAD FINANCIERA (33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78.490207754628" createdVersion="6" refreshedVersion="6" minRefreshableVersion="3" recordCount="116" xr:uid="{00000000-000A-0000-FFFF-FFFF02000000}">
  <cacheSource type="worksheet">
    <worksheetSource ref="A1:AA1048576" sheet="Hoja8"/>
  </cacheSource>
  <cacheFields count="27">
    <cacheField name="NUMERO" numFmtId="0">
      <sharedItems containsString="0" containsBlank="1" containsNumber="1" containsInteger="1" minValue="1" maxValue="115"/>
    </cacheField>
    <cacheField name="REGION (1)" numFmtId="0">
      <sharedItems containsBlank="1"/>
    </cacheField>
    <cacheField name="PROVINCIA (2)" numFmtId="0">
      <sharedItems containsBlank="1" count="3">
        <s v="La Convencion"/>
        <s v="Calca"/>
        <m/>
      </sharedItems>
    </cacheField>
    <cacheField name="DISTRITO (3) " numFmtId="0">
      <sharedItems containsBlank="1"/>
    </cacheField>
    <cacheField name="CASERIO/SECTOR (4) " numFmtId="0">
      <sharedItems containsBlank="1"/>
    </cacheField>
    <cacheField name="AGENCIA ENTIDAD FINANCIERA (5)" numFmtId="0">
      <sharedItems containsBlank="1" count="5">
        <s v="Maracana "/>
        <s v="Quillabamba"/>
        <s v="Quebrada"/>
        <s v="Kiteni"/>
        <m/>
      </sharedItems>
    </cacheField>
    <cacheField name="NOMBRES Y APELLIDOS DEL CLIENTE (6)" numFmtId="0">
      <sharedItems containsBlank="1"/>
    </cacheField>
    <cacheField name="EDAD" numFmtId="0">
      <sharedItems containsString="0" containsBlank="1" containsNumber="1" containsInteger="1" minValue="21" maxValue="71"/>
    </cacheField>
    <cacheField name="SEXO PROPIETARIO DEL NEGOCIO (7)" numFmtId="0">
      <sharedItems containsBlank="1"/>
    </cacheField>
    <cacheField name="MONTO DEL CRÉDITO (S/.) (8)" numFmtId="0">
      <sharedItems containsString="0" containsBlank="1" containsNumber="1" containsInteger="1" minValue="500" maxValue="63000"/>
    </cacheField>
    <cacheField name="DNI/RUC (9)" numFmtId="0">
      <sharedItems containsString="0" containsBlank="1" containsNumber="1" containsInteger="1" minValue="10387241" maxValue="80679378"/>
    </cacheField>
    <cacheField name="FECHA DESEMBOLSO (10)" numFmtId="0">
      <sharedItems containsString="0" containsBlank="1" containsNumber="1" containsInteger="1" minValue="44931" maxValue="45639"/>
    </cacheField>
    <cacheField name="FECHA VENCIMIENTO (11)" numFmtId="0">
      <sharedItems containsBlank="1" containsMixedTypes="1" containsNumber="1" containsInteger="1" minValue="45389" maxValue="47111"/>
    </cacheField>
    <cacheField name="DESTINO DEL CRÉDITO : ACTIVO FIJO / CAPITAL DE TRABAJO (12)" numFmtId="0">
      <sharedItems containsBlank="1"/>
    </cacheField>
    <cacheField name="ACTIVIDAD PRINCIPAL  DEL CLIENTE (13)" numFmtId="0">
      <sharedItems containsBlank="1"/>
    </cacheField>
    <cacheField name="TIPO DE CRÉDITO (15)" numFmtId="0">
      <sharedItems containsBlank="1"/>
    </cacheField>
    <cacheField name="TEA (16)" numFmtId="0">
      <sharedItems containsString="0" containsBlank="1" containsNumber="1" minValue="0.22409999999999999" maxValue="0.60650000000000004"/>
    </cacheField>
    <cacheField name="COORDENADAS UTM (17)" numFmtId="0">
      <sharedItems containsBlank="1"/>
    </cacheField>
    <cacheField name="ÁREA TOTAL (HA) (18)" numFmtId="0">
      <sharedItems containsString="0" containsBlank="1" containsNumber="1" minValue="1" maxValue="28"/>
    </cacheField>
    <cacheField name="ÁREA A CULTIVAR (HA) (19)" numFmtId="0">
      <sharedItems containsString="0" containsBlank="1" containsNumber="1" minValue="1" maxValue="20"/>
    </cacheField>
    <cacheField name="PREDIO LIBRE DEFORESTACIÓN (20)" numFmtId="0">
      <sharedItems containsBlank="1"/>
    </cacheField>
    <cacheField name="PREDIO FUERA DE ZONAS DE ANP (21)" numFmtId="0">
      <sharedItems containsBlank="1"/>
    </cacheField>
    <cacheField name="PREDIO CON (SAF) (22)" numFmtId="0">
      <sharedItems containsBlank="1"/>
    </cacheField>
    <cacheField name="EDAD DEL SAF (23)" numFmtId="0">
      <sharedItems containsString="0" containsBlank="1" containsNumber="1" containsInteger="1" minValue="2" maxValue="40"/>
    </cacheField>
    <cacheField name="USO DE ABONOS SOSTENIBLES (24)" numFmtId="0">
      <sharedItems containsBlank="1"/>
    </cacheField>
    <cacheField name="MANEJO INTEGRADO DE PLAGAS (25)" numFmtId="0">
      <sharedItems containsBlank="1"/>
    </cacheField>
    <cacheField name="CLIENTE  NUEVO (28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n v="1"/>
    <x v="0"/>
    <x v="0"/>
    <x v="0"/>
    <s v="Sector/ Pichari"/>
    <x v="0"/>
    <s v="Fredy Regaño Alarcon"/>
    <n v="48"/>
    <s v="M"/>
    <x v="0"/>
    <n v="80401382"/>
    <d v="2023-12-28T00:00:00"/>
    <d v="2027-12-28T00:00:00"/>
    <s v="Capital de Trabajo "/>
    <s v="Café, Cacao y Frutales "/>
    <s v="Produccion de te"/>
    <s v="microempresa"/>
    <x v="0"/>
    <s v="LAT: -12.480750, LON: -72.783180"/>
    <n v="24.94"/>
    <n v="4"/>
    <s v="SI"/>
    <s v="SI"/>
    <s v="SI"/>
    <s v="10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2"/>
    <x v="0"/>
    <x v="0"/>
    <x v="1"/>
    <s v="Sector/ Pispita"/>
    <x v="0"/>
    <s v="Richard Cristhian Contreras Segovia"/>
    <n v="47"/>
    <s v="M"/>
    <x v="1"/>
    <n v="25012150"/>
    <d v="2023-12-28T00:00:00"/>
    <d v="2025-06-28T00:00:00"/>
    <s v="Capital de Trabajo "/>
    <s v="Cacao y Paco "/>
    <s v="crianza de paco"/>
    <s v="microempresa"/>
    <x v="1"/>
    <s v="LAT: -12.758357, LON: -72.578709"/>
    <n v="3"/>
    <n v="1"/>
    <s v="SI"/>
    <s v="SI"/>
    <s v="SI"/>
    <s v="5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3"/>
    <x v="0"/>
    <x v="0"/>
    <x v="1"/>
    <s v="Caserio/ Calpampa"/>
    <x v="0"/>
    <s v="Efrain Hilares Paja"/>
    <n v="43"/>
    <s v="M"/>
    <x v="2"/>
    <n v="40973753"/>
    <d v="2023-12-28T00:00:00"/>
    <d v="2026-01-01T00:00:00"/>
    <s v="Capital de Trabajo "/>
    <s v="cacao "/>
    <s v="Produccion de café y te"/>
    <s v="microempresa"/>
    <x v="2"/>
    <s v="LAT: -12.769319, LON: -72.575778"/>
    <n v="15"/>
    <n v="2"/>
    <s v="SI"/>
    <s v="SI"/>
    <s v="SI"/>
    <s v="6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4"/>
    <x v="0"/>
    <x v="0"/>
    <x v="1"/>
    <s v="Sector/ San Agustin"/>
    <x v="0"/>
    <s v="Magaret Aymachoque Ccahua"/>
    <n v="45"/>
    <s v="F"/>
    <x v="3"/>
    <n v="42904898"/>
    <d v="2023-12-28T00:00:00"/>
    <d v="2025-01-01T00:00:00"/>
    <s v="Capital de Trabajo "/>
    <s v="Árboles Frutales "/>
    <m/>
    <s v="microempresa"/>
    <x v="3"/>
    <s v="LAT: -12.756229, LON: -72.581614"/>
    <n v="5"/>
    <n v="1"/>
    <s v="SI"/>
    <s v="SI"/>
    <s v="SI"/>
    <s v="6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5"/>
    <x v="0"/>
    <x v="0"/>
    <x v="1"/>
    <s v="Alto Rosalinas/Calaminayoc"/>
    <x v="0"/>
    <s v="Barcena Usca Alfredo"/>
    <n v="43"/>
    <s v="M"/>
    <x v="4"/>
    <n v="42476104"/>
    <d v="2023-01-05T00:00:00"/>
    <d v="2028-01-02T00:00:00"/>
    <s v="Capital de Trabajo "/>
    <s v="Café, Cacao y Frutales "/>
    <m/>
    <s v="microempresa"/>
    <x v="4"/>
    <s v="LAT: -12.645953, LON: -72.689614"/>
    <n v="5"/>
    <n v="1"/>
    <s v="SI"/>
    <s v="SI"/>
    <s v="SI"/>
    <s v="10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6"/>
    <x v="0"/>
    <x v="0"/>
    <x v="2"/>
    <s v="Lucmapampa Chaupimayo Santa Teresa"/>
    <x v="0"/>
    <s v="Champi Aranzabal Vilma"/>
    <n v="45"/>
    <s v="F"/>
    <x v="5"/>
    <n v="40343713"/>
    <d v="2024-01-09T00:00:00"/>
    <d v="2025-01-03T00:00:00"/>
    <s v="Capital de Trabajo "/>
    <s v="Café,Palto y Frutales "/>
    <m/>
    <s v="microempresa"/>
    <x v="5"/>
    <s v="LAT: -13.041039, LON: -72.697408"/>
    <n v="4"/>
    <n v="2"/>
    <s v="SI"/>
    <s v="SI"/>
    <s v="SI"/>
    <s v="10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7"/>
    <x v="0"/>
    <x v="0"/>
    <x v="3"/>
    <s v="Sector Chinche "/>
    <x v="0"/>
    <s v="Lozano Ninantay Griselda"/>
    <n v="57"/>
    <s v="F"/>
    <x v="6"/>
    <n v="24969889"/>
    <d v="2024-01-10T00:00:00"/>
    <d v="2025-01-03T00:00:00"/>
    <s v="Capital de Trabajo "/>
    <s v="Árboles Frutales "/>
    <m/>
    <s v="microempresa"/>
    <x v="6"/>
    <s v="LAT: -12.968657, LON: -72.656492"/>
    <n v="2"/>
    <n v="1"/>
    <s v="SI"/>
    <s v="SI"/>
    <s v="SI"/>
    <s v="10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8"/>
    <x v="0"/>
    <x v="0"/>
    <x v="3"/>
    <s v="Sector moyomonte alto "/>
    <x v="0"/>
    <s v="Arias Huaman Milagrito Roxana"/>
    <n v="48"/>
    <s v="F"/>
    <x v="7"/>
    <n v="25328719"/>
    <d v="2024-01-22T00:00:00"/>
    <d v="2025-01-16T00:00:00"/>
    <s v="Capital de Trabajo "/>
    <s v="Árboles Frutales "/>
    <m/>
    <s v="microempresa"/>
    <x v="7"/>
    <s v="LAT: -12.959581, LON: -72.672316"/>
    <n v="2"/>
    <n v="1"/>
    <s v="SI"/>
    <s v="SI"/>
    <s v="SI"/>
    <s v="5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9"/>
    <x v="0"/>
    <x v="0"/>
    <x v="3"/>
    <s v="Sectoe Uchumayo"/>
    <x v="0"/>
    <s v="Valdeiglesia Arias Misuri Corria"/>
    <n v="25"/>
    <s v="F"/>
    <x v="3"/>
    <n v="76847088"/>
    <d v="2024-01-22T00:00:00"/>
    <d v="2025-01-22T00:00:00"/>
    <s v="Capital de Trabajo "/>
    <s v="Árboles Frutales "/>
    <m/>
    <s v="microempresa"/>
    <x v="3"/>
    <s v="LAT: -12.959581, LON: -72.672297"/>
    <n v="1"/>
    <n v="1"/>
    <s v="SI"/>
    <s v="SI"/>
    <s v="SI"/>
    <s v="3 años"/>
    <s v="SI"/>
    <s v="SI"/>
    <s v="Puente de la Vega Quispe Carlos Javier"/>
    <n v="46833208"/>
    <s v="recurrente"/>
    <s v="si "/>
    <n v="70"/>
    <s v="106602321000029629"/>
    <s v="80606032100002962905"/>
    <s v="CMAC CUSCO"/>
  </r>
  <r>
    <n v="10"/>
    <x v="0"/>
    <x v="0"/>
    <x v="4"/>
    <s v="Dorminduyoc"/>
    <x v="1"/>
    <s v="Ramos Diaz Pilar"/>
    <n v="43"/>
    <s v="F"/>
    <x v="8"/>
    <n v="24941971"/>
    <d v="2024-02-07T00:00:00"/>
    <d v="2024-08-08T00:00:00"/>
    <s v="Capital de Trabajo "/>
    <s v="Café, Cacao y Frutales "/>
    <m/>
    <s v="microempresa"/>
    <x v="8"/>
    <s v="LAT:-12.7815000,LON:-72.6301000"/>
    <n v="3"/>
    <n v="3"/>
    <s v="SI"/>
    <s v="SI"/>
    <s v="SI"/>
    <n v="5"/>
    <s v="SI"/>
    <s v="SI"/>
    <s v="Gonzales Atausupa, Mary Shila"/>
    <m/>
    <s v="recurrente"/>
    <s v="si "/>
    <n v="70"/>
    <m/>
    <m/>
    <s v="CMAC CUSCO"/>
  </r>
  <r>
    <n v="11"/>
    <x v="0"/>
    <x v="0"/>
    <x v="5"/>
    <s v="Sector Chinganilla"/>
    <x v="2"/>
    <s v="Arcaya Suarez Shalda"/>
    <n v="32"/>
    <s v="F"/>
    <x v="7"/>
    <n v="47002066"/>
    <d v="2024-03-24T00:00:00"/>
    <d v="2025-03-25T00:00:00"/>
    <s v="Capital de Trabajo "/>
    <s v="Café, Cacao y Frutales "/>
    <m/>
    <s v="microempresa"/>
    <x v="9"/>
    <s v="LAT:-12.6577,LON:-72.3820"/>
    <m/>
    <m/>
    <s v="SI"/>
    <s v="SI"/>
    <s v="SI"/>
    <n v="5"/>
    <s v="SI"/>
    <s v="SI"/>
    <s v="Perez Quispe Ronal Arturo"/>
    <m/>
    <s v="nuevo"/>
    <s v="no"/>
    <n v="120"/>
    <m/>
    <m/>
    <s v="CMAC CUSCO"/>
  </r>
  <r>
    <n v="12"/>
    <x v="0"/>
    <x v="0"/>
    <x v="4"/>
    <s v="Huayanay alta"/>
    <x v="1"/>
    <s v="Quispe Ttito Yony"/>
    <n v="52"/>
    <s v="F"/>
    <x v="9"/>
    <n v="23969077"/>
    <d v="2024-02-07T00:00:00"/>
    <d v="2025-08-10T00:00:00"/>
    <s v="Capital de Trabajo "/>
    <s v="Café, Cacao y Frutales "/>
    <m/>
    <s v="microempresa"/>
    <x v="10"/>
    <s v="LAT:-12.82350,LON:-72.64370"/>
    <n v="4"/>
    <n v="3"/>
    <s v="SI"/>
    <s v="SI"/>
    <s v="SI"/>
    <n v="5"/>
    <s v="SI"/>
    <s v="SI"/>
    <s v="Ccori Acsaraya Katerin Rosmery"/>
    <m/>
    <s v="nuevo"/>
    <s v="no"/>
    <n v="120"/>
    <m/>
    <m/>
    <s v="CMAC CUSCO"/>
  </r>
  <r>
    <n v="13"/>
    <x v="0"/>
    <x v="0"/>
    <x v="1"/>
    <s v="sector Chayña puerto"/>
    <x v="1"/>
    <s v="Enriquez Espinoza Raul"/>
    <n v="51"/>
    <s v="M"/>
    <x v="2"/>
    <n v="24993979"/>
    <d v="2024-03-04T00:00:00"/>
    <d v="2025-02-27T00:00:00"/>
    <s v="Capital de Trabajo "/>
    <s v="Café, Cacao y Frutales "/>
    <m/>
    <s v="microempresa"/>
    <x v="11"/>
    <s v="LAT:-72.521877,LON:-72.521877"/>
    <n v="25"/>
    <n v="5"/>
    <s v="SI"/>
    <s v="SI"/>
    <s v="SI"/>
    <n v="8"/>
    <s v="SI"/>
    <s v="SI"/>
    <s v="Rimachi escobar Abel Antonio"/>
    <n v="48469689"/>
    <s v="recurrente"/>
    <s v="si "/>
    <n v="70"/>
    <s v="106052321001972979"/>
    <s v="80600532100197297959"/>
    <s v="CMAC CUSCO"/>
  </r>
  <r>
    <n v="14"/>
    <x v="0"/>
    <x v="0"/>
    <x v="0"/>
    <s v="sector de lorohuachana"/>
    <x v="1"/>
    <s v="Enciso Condori Max Emerson"/>
    <n v="42"/>
    <s v="M"/>
    <x v="4"/>
    <n v="42055740"/>
    <d v="2023-03-09T00:00:00"/>
    <d v="2027-02-22T00:00:00"/>
    <s v="Capital de Trabajo "/>
    <s v="Café, Cacao y Frutales "/>
    <m/>
    <s v="microempresa"/>
    <x v="11"/>
    <s v="LAT:-12.610723,LON:-72.521877"/>
    <n v="8"/>
    <n v="3"/>
    <s v="SI"/>
    <s v="SI"/>
    <s v="SI"/>
    <n v="10"/>
    <s v="SI"/>
    <s v="SI"/>
    <s v="Rimachi escobar Abel Antonio"/>
    <n v="48469689"/>
    <s v="recurrente"/>
    <s v="si "/>
    <n v="70"/>
    <s v="106052321001972979"/>
    <s v="80600532100197297959"/>
    <s v="CMAC CUSCO"/>
  </r>
  <r>
    <n v="15"/>
    <x v="0"/>
    <x v="0"/>
    <x v="4"/>
    <s v="sector pampa concepcion"/>
    <x v="1"/>
    <s v="Olivera Puma Gissela"/>
    <n v="33"/>
    <s v="F"/>
    <x v="4"/>
    <n v="48061352"/>
    <d v="2024-03-14T00:00:00"/>
    <d v="2025-03-19T00:00:00"/>
    <s v="Capital de Trabajo "/>
    <s v="Café, Cacao y Frutales "/>
    <m/>
    <s v="microempresa"/>
    <x v="12"/>
    <s v="LAT:-12.722856,LON:-72.553122"/>
    <n v="10"/>
    <n v="4"/>
    <s v="SI"/>
    <s v="SI"/>
    <s v="SI"/>
    <n v="5"/>
    <s v="SI"/>
    <s v="SI"/>
    <s v="Rimachi escobar Abel Antonio"/>
    <n v="48469689"/>
    <s v="recurrente"/>
    <s v="si "/>
    <n v="70"/>
    <s v="106052321001972979"/>
    <s v="80600532100197297959"/>
    <s v="CMAC CUSCO"/>
  </r>
  <r>
    <n v="16"/>
    <x v="0"/>
    <x v="0"/>
    <x v="0"/>
    <s v="sector chochayoc bajo"/>
    <x v="1"/>
    <s v="Yucra Huaman Alicia"/>
    <n v="41"/>
    <s v="F"/>
    <x v="10"/>
    <n v="42163419"/>
    <d v="2024-03-12T00:00:00"/>
    <d v="2025-03-12T00:00:00"/>
    <s v="Capital de Trabajo "/>
    <s v="Café, Cacao y Frutales "/>
    <m/>
    <s v="microempresa"/>
    <x v="13"/>
    <s v="LAT:-12.599717,LON:-72.682624"/>
    <n v="5"/>
    <n v="3"/>
    <s v="SI"/>
    <s v="SI"/>
    <s v="SI"/>
    <n v="6"/>
    <s v="SI"/>
    <s v="SI"/>
    <s v="Rimachi escobar Abel Antonio"/>
    <n v="48469689"/>
    <s v="recurrente"/>
    <s v="si "/>
    <n v="70"/>
    <s v="106052321001972979"/>
    <s v="80600532100197297959"/>
    <s v="CMAC CUSCO"/>
  </r>
  <r>
    <n v="17"/>
    <x v="0"/>
    <x v="0"/>
    <x v="0"/>
    <s v="sector alto pabellon"/>
    <x v="1"/>
    <s v="Barreto Barreto Isidro"/>
    <n v="62"/>
    <s v="M"/>
    <x v="11"/>
    <n v="24998121"/>
    <d v="2024-01-25T00:00:00"/>
    <d v="2024-07-23T00:00:00"/>
    <s v="Activo Fijo"/>
    <s v="Café, Cacao y Frutales "/>
    <m/>
    <s v="microempresa"/>
    <x v="14"/>
    <s v="LAT:-12.59978, LON:-72.682683"/>
    <n v="11"/>
    <n v="4"/>
    <s v="SI"/>
    <s v="SI"/>
    <s v="SI"/>
    <n v="10"/>
    <s v="SI"/>
    <s v="SI"/>
    <s v="Rimachi escobar Abel Antonio"/>
    <n v="48469689"/>
    <s v="recurrente"/>
    <s v="si "/>
    <n v="70"/>
    <s v="106052321001972979"/>
    <s v="80600532100197297959"/>
    <s v="CMAC CUSCO"/>
  </r>
  <r>
    <n v="18"/>
    <x v="0"/>
    <x v="0"/>
    <x v="4"/>
    <s v="santa ana"/>
    <x v="1"/>
    <s v="Quiroz Zevallos Andrea Keyko"/>
    <n v="29"/>
    <s v="F"/>
    <x v="4"/>
    <n v="71314803"/>
    <d v="2024-01-22T00:00:00"/>
    <d v="2027-01-06T00:00:00"/>
    <s v="Capital de Trabajo "/>
    <s v="Café, Cacao y Frutales "/>
    <m/>
    <s v="microempresa"/>
    <x v="15"/>
    <s v="LAT:-12.973159,LON:-72.669972"/>
    <n v="3"/>
    <n v="2"/>
    <s v="SI"/>
    <s v="SI"/>
    <s v="SI"/>
    <n v="12"/>
    <s v="SI"/>
    <s v="SI"/>
    <s v="Rimachi escobar Abel Antonio"/>
    <n v="48469689"/>
    <s v="recurrente"/>
    <s v="si "/>
    <n v="70"/>
    <s v="106052321001972979"/>
    <s v="80600532100197297959"/>
    <s v="CMAC CUSCO"/>
  </r>
  <r>
    <n v="19"/>
    <x v="0"/>
    <x v="0"/>
    <x v="6"/>
    <s v="Sector huayllayoc"/>
    <x v="1"/>
    <s v="Mellado Olabarrera Lino Arnaldo"/>
    <n v="63"/>
    <s v="M"/>
    <x v="0"/>
    <n v="24940437"/>
    <d v="2023-01-19T00:00:00"/>
    <d v="2028-12-24T00:00:00"/>
    <s v="Activo Fijo"/>
    <s v="Café, Cacao y Frutales "/>
    <m/>
    <s v="Pequeña empresa"/>
    <x v="16"/>
    <s v="LAT:-12.725408,LON:-72.557893"/>
    <n v="18"/>
    <n v="12"/>
    <s v="SI"/>
    <s v="SI"/>
    <s v="SI"/>
    <n v="5"/>
    <s v="SI"/>
    <s v="SI"/>
    <s v="Rimachi escobar Abel Antonio"/>
    <n v="48469689"/>
    <s v="recurrente"/>
    <s v="si "/>
    <n v="70"/>
    <s v="106052321001972979"/>
    <s v="80600532100197297959"/>
    <s v="CMAC CUSCO"/>
  </r>
  <r>
    <n v="20"/>
    <x v="0"/>
    <x v="0"/>
    <x v="0"/>
    <s v="Sector Alto Canelon"/>
    <x v="1"/>
    <s v="Gutierrez Escobar Raul"/>
    <n v="44"/>
    <s v="M"/>
    <x v="4"/>
    <n v="41378591"/>
    <d v="2024-01-16T00:00:00"/>
    <d v="2025-01-10T00:00:00"/>
    <s v="Capital de Trabajo "/>
    <s v="Café, Cacao y Frutales "/>
    <m/>
    <s v="microempresa"/>
    <x v="17"/>
    <s v="LAT.-12.649832,LON:-72.49118"/>
    <n v="7"/>
    <n v="4"/>
    <s v="SI"/>
    <s v="SI"/>
    <s v="SI"/>
    <n v="8"/>
    <s v="SI"/>
    <s v="SI"/>
    <s v="Rimachi escobar Abel Antonio"/>
    <n v="48469689"/>
    <s v="recurrente"/>
    <s v="si "/>
    <n v="70"/>
    <s v="106052321001972979"/>
    <s v="80600532100197297959"/>
    <s v="CMAC CUSCO"/>
  </r>
  <r>
    <n v="21"/>
    <x v="0"/>
    <x v="0"/>
    <x v="7"/>
    <s v="Sector de Pampa Concepcion"/>
    <x v="1"/>
    <s v="Vargas Rojas Vilma"/>
    <n v="47"/>
    <s v="F"/>
    <x v="4"/>
    <n v="25010315"/>
    <d v="2024-03-27T00:00:00"/>
    <d v="2024-06-27T00:00:00"/>
    <s v="Capital de Trabajo "/>
    <s v="Café, Cacao y Frutales "/>
    <m/>
    <s v="microempresa"/>
    <x v="0"/>
    <s v="LAT:-12.725085,LON:-72.553549"/>
    <n v="3"/>
    <n v="3"/>
    <s v="SI"/>
    <s v="SI"/>
    <s v="SI"/>
    <n v="7"/>
    <s v="SI"/>
    <s v="SI"/>
    <s v="Rimachi escobar Abel Antonio"/>
    <n v="48469689"/>
    <s v="recurrente"/>
    <s v="si "/>
    <n v="70"/>
    <s v="106052321001972979"/>
    <s v="80600532100197297959"/>
    <s v="CMAC CUSCO"/>
  </r>
  <r>
    <n v="22"/>
    <x v="0"/>
    <x v="0"/>
    <x v="8"/>
    <s v="Sector de Choquelluska-Huayrurani"/>
    <x v="1"/>
    <s v="Vera Valdivia Jaime"/>
    <n v="29"/>
    <s v="M"/>
    <x v="2"/>
    <n v="72448141"/>
    <d v="2024-03-25T00:00:00"/>
    <d v="2025-03-25T00:00:00"/>
    <s v="Capital de Trabajo "/>
    <s v="Café, Cacao y Frutales "/>
    <m/>
    <s v="microempresa"/>
    <x v="18"/>
    <s v="LAT:-13.0441,LON:-72.7882"/>
    <n v="7"/>
    <n v="5"/>
    <s v="SI"/>
    <s v="SI"/>
    <s v="SI"/>
    <n v="5"/>
    <s v="SI"/>
    <s v="SI"/>
    <s v="Rimachi escobar Abel Antonio"/>
    <n v="48469689"/>
    <s v="recurrente"/>
    <s v="si "/>
    <n v="70"/>
    <s v="106052321001972979"/>
    <s v="80600532100197297959"/>
    <s v="CMAC CUSCO"/>
  </r>
  <r>
    <n v="23"/>
    <x v="0"/>
    <x v="0"/>
    <x v="4"/>
    <s v="Sector Huanay Alto"/>
    <x v="1"/>
    <s v="Tania Gutierrez Martinez "/>
    <n v="32"/>
    <s v="F"/>
    <x v="4"/>
    <n v="47687141"/>
    <d v="2024-04-12T00:00:00"/>
    <d v="2027-03-28T00:00:00"/>
    <s v="Capital de Trabajo "/>
    <s v="Café, Cacao y Frutales "/>
    <m/>
    <s v="microempresa"/>
    <x v="18"/>
    <s v="LAT:-12.7901,LON:-72.6679"/>
    <m/>
    <m/>
    <s v="SI"/>
    <s v="SI"/>
    <s v="SI"/>
    <n v="5"/>
    <s v="SI"/>
    <s v="SI"/>
    <s v="Rimachi escobar Abel Antonio"/>
    <n v="48469689"/>
    <s v="recurrente"/>
    <s v="si "/>
    <n v="70"/>
    <s v="106052321001972979"/>
    <s v="80600532100197297959"/>
    <s v="CMAC CUSCO"/>
  </r>
  <r>
    <n v="24"/>
    <x v="0"/>
    <x v="0"/>
    <x v="0"/>
    <s v="Sector de Chapo Kuviriari"/>
    <x v="1"/>
    <s v="Cuba Abarca Andres"/>
    <n v="55"/>
    <s v="M"/>
    <x v="6"/>
    <n v="23939809"/>
    <d v="2024-04-02T00:00:00"/>
    <d v="2025-04-02T00:00:00"/>
    <s v="Capital de Trabajo "/>
    <s v="Café, Cacao y Frutales "/>
    <m/>
    <s v="microempresa"/>
    <x v="9"/>
    <s v="LAT:-12.4943,LON:-72.7060"/>
    <n v="3"/>
    <n v="2"/>
    <s v="SI"/>
    <s v="SI"/>
    <s v="SI"/>
    <n v="4"/>
    <s v="SI"/>
    <s v="SI"/>
    <s v="Rimachi escobar Abel Antonio"/>
    <n v="48469689"/>
    <s v="nuevo"/>
    <s v="no"/>
    <n v="120"/>
    <s v="106052321001972979"/>
    <s v="80600532100197297959"/>
    <s v="CMAC CUSCO"/>
  </r>
  <r>
    <n v="25"/>
    <x v="0"/>
    <x v="0"/>
    <x v="4"/>
    <s v="Sector de Illapani"/>
    <x v="1"/>
    <s v="Ugarte Escalante Elias"/>
    <n v="60"/>
    <s v="M"/>
    <x v="12"/>
    <n v="24953763"/>
    <d v="2024-04-04T00:00:00"/>
    <d v="2025-03-25T00:00:00"/>
    <s v="Capital de Trabajo "/>
    <s v="Café, Cacao y Frutales "/>
    <m/>
    <s v="microempresa"/>
    <x v="19"/>
    <s v="LAT:-12.6569,LON:-72.6310"/>
    <n v="28"/>
    <n v="20"/>
    <s v="SI"/>
    <s v="SI"/>
    <s v="SI"/>
    <n v="5"/>
    <s v="SI"/>
    <s v="SI"/>
    <s v="Rimachi escobar Abel Antonio"/>
    <n v="48469689"/>
    <s v="recurrente"/>
    <s v="si "/>
    <n v="70"/>
    <s v="106052321001972979"/>
    <s v="80600532100197297959"/>
    <s v="CMAC CUSCO"/>
  </r>
  <r>
    <n v="26"/>
    <x v="0"/>
    <x v="0"/>
    <x v="1"/>
    <s v="Sector Canelon Alto"/>
    <x v="1"/>
    <s v="Guitierrez escobar raul"/>
    <n v="44"/>
    <s v="M"/>
    <x v="4"/>
    <n v="41378591"/>
    <d v="2024-01-16T00:00:00"/>
    <d v="2025-01-10T00:00:00"/>
    <s v="Capital de Trabajo "/>
    <s v="Café, Cacao y Frutales "/>
    <m/>
    <s v="microempresa"/>
    <x v="17"/>
    <s v="LAT:-12.649832,LON:-72.49118"/>
    <m/>
    <m/>
    <s v="SI"/>
    <s v="SI"/>
    <s v="SI"/>
    <n v="5"/>
    <s v="SI"/>
    <s v="SI"/>
    <s v="Rimachi escobar Abel Antonio"/>
    <n v="48469689"/>
    <s v="recurrente"/>
    <s v="si "/>
    <n v="70"/>
    <s v="106052321001972979"/>
    <s v="80600532100197297959"/>
    <s v="CMAC CUSCO"/>
  </r>
  <r>
    <n v="27"/>
    <x v="0"/>
    <x v="0"/>
    <x v="0"/>
    <s v="Sector Putucusi"/>
    <x v="1"/>
    <s v="Prudencio Pinedo Dante Daniel"/>
    <n v="44"/>
    <s v="M"/>
    <x v="4"/>
    <n v="42268874"/>
    <d v="2024-04-12T00:00:00"/>
    <d v="2024-04-07T00:00:00"/>
    <s v="Capital de Trabajo "/>
    <s v="Café, Cacao y Frutales "/>
    <m/>
    <s v="microempresa"/>
    <x v="20"/>
    <s v="LAT:-12.6385, LON:-72.6226"/>
    <m/>
    <m/>
    <s v="SI"/>
    <s v="SI"/>
    <s v="SI"/>
    <n v="10"/>
    <s v="SI"/>
    <s v="SI"/>
    <s v="Rimachi escobar Abel Antonio"/>
    <n v="48469689"/>
    <s v="recurrente"/>
    <s v="si "/>
    <n v="70"/>
    <s v="106052321001972979"/>
    <s v="80600532100197297959"/>
    <s v="CMAC CUSCO"/>
  </r>
  <r>
    <n v="28"/>
    <x v="0"/>
    <x v="0"/>
    <x v="0"/>
    <s v="Sector de mercedesniyoc"/>
    <x v="1"/>
    <s v="Mejia Daza Aida Luz"/>
    <n v="23"/>
    <s v="F"/>
    <x v="7"/>
    <n v="73423584"/>
    <d v="2024-04-15T00:00:00"/>
    <d v="2024-04-10T00:00:00"/>
    <s v="Capital de Trabajo "/>
    <s v="Café, Cacao y Frutales "/>
    <m/>
    <s v="microempresa"/>
    <x v="9"/>
    <s v="LAT:-12.6546.LON:-72.6102"/>
    <m/>
    <m/>
    <s v="SI"/>
    <s v="SI"/>
    <s v="SI"/>
    <m/>
    <s v="SI"/>
    <s v="SI"/>
    <s v="Rimachi escobar Abel Antonio"/>
    <n v="48469689"/>
    <s v="recurrente"/>
    <s v="no"/>
    <n v="120"/>
    <s v="106052321001972979"/>
    <s v="80600532100197297959"/>
    <s v="CMAC CUSCO"/>
  </r>
  <r>
    <n v="30"/>
    <x v="0"/>
    <x v="0"/>
    <x v="2"/>
    <s v="Sector Paraiso Huayanay "/>
    <x v="1"/>
    <s v="Rodriguez huarancca corina"/>
    <n v="51"/>
    <s v="F"/>
    <x v="3"/>
    <n v="25012348"/>
    <d v="2024-03-04T00:00:00"/>
    <d v="2025-03-04T00:00:00"/>
    <s v="Capital de Trabajo "/>
    <s v="Café, Cacao y Frutales "/>
    <m/>
    <s v="microempresa"/>
    <x v="9"/>
    <s v="LAT:-12.827180, LON: -72.664398"/>
    <n v="3"/>
    <n v="3"/>
    <s v="SI"/>
    <s v="SI"/>
    <s v="SI"/>
    <s v="10 años"/>
    <s v="SI"/>
    <s v="SI"/>
    <s v="Huaman Ccarhuaslla Wilmer"/>
    <n v="76125758"/>
    <s v="nuevo"/>
    <s v="no"/>
    <n v="120"/>
    <s v="106052321002082367"/>
    <s v="80600532100208236752"/>
    <s v="CMAC CUSCO"/>
  </r>
  <r>
    <n v="31"/>
    <x v="0"/>
    <x v="0"/>
    <x v="9"/>
    <s v="Sector huayopata"/>
    <x v="1"/>
    <s v="Jimenez peña Santusa"/>
    <n v="54"/>
    <s v="F"/>
    <x v="5"/>
    <n v="24983605"/>
    <d v="2024-03-07T00:00:00"/>
    <d v="2025-03-07T00:00:00"/>
    <s v="Capital de Trabajo "/>
    <s v="Café, Cacao y Frutales "/>
    <s v="engorde de gando y té"/>
    <s v="microempresa"/>
    <x v="21"/>
    <s v="LAT:-13.006691, LON:-72.5788981"/>
    <n v="5"/>
    <n v="4"/>
    <s v="SI"/>
    <s v="SI"/>
    <s v="SI"/>
    <s v="12 AÑOS"/>
    <s v="SI"/>
    <s v="SI"/>
    <s v="Huaman Ccarhuaslla Wilmer"/>
    <n v="76125758"/>
    <s v="recurrente"/>
    <s v="si "/>
    <n v="70"/>
    <s v="106052321002082367"/>
    <s v="80600532100208236752"/>
    <s v="CMAC CUSCO"/>
  </r>
  <r>
    <n v="32"/>
    <x v="0"/>
    <x v="0"/>
    <x v="10"/>
    <s v="Sector Marampata"/>
    <x v="1"/>
    <s v="Arrozquipa Huanca Antonio"/>
    <n v="64"/>
    <s v="M"/>
    <x v="13"/>
    <n v="24962579"/>
    <d v="2024-03-07T00:00:00"/>
    <d v="2025-03-07T00:00:00"/>
    <s v="Capital de Trabajo "/>
    <s v="Café,Palto y Frutales "/>
    <m/>
    <s v="microempresa"/>
    <x v="9"/>
    <s v="LAT:-13.0003476, LON:- 72.5773756"/>
    <n v="4"/>
    <n v="4"/>
    <s v="SI"/>
    <s v="SI"/>
    <s v="SI"/>
    <s v="8 AÑOS"/>
    <s v="SI"/>
    <s v="SI"/>
    <s v="Huaman Ccarhuaslla Wilmer"/>
    <n v="76125758"/>
    <s v="recurrente"/>
    <s v="si "/>
    <n v="70"/>
    <s v="106052321002082367"/>
    <s v="80600532100208236752"/>
    <s v="CMAC CUSCO"/>
  </r>
  <r>
    <n v="33"/>
    <x v="0"/>
    <x v="0"/>
    <x v="0"/>
    <s v="Sector Lampachaca"/>
    <x v="1"/>
    <s v="Bellido Hancco Valeriano"/>
    <n v="50"/>
    <s v="M"/>
    <x v="4"/>
    <n v="24997836"/>
    <d v="2024-03-08T00:00:00"/>
    <d v="2028-03-08T00:00:00"/>
    <s v="Activo Fijo"/>
    <s v="Café,Palto y Frutales "/>
    <m/>
    <s v="microempresa"/>
    <x v="10"/>
    <s v="LAT:-12.5644639,LON:-72.50219837"/>
    <n v="15"/>
    <n v="7"/>
    <s v="SI"/>
    <s v="SI"/>
    <s v="SI"/>
    <s v="13 AÑOS"/>
    <s v="SI"/>
    <s v="SI"/>
    <s v="Huaman Ccarhuaslla Wilmer"/>
    <n v="76125758"/>
    <s v="recurrente"/>
    <s v="si "/>
    <n v="70"/>
    <s v="106052321002082367"/>
    <s v="80600532100208236752"/>
    <s v="CMAC CUSCO"/>
  </r>
  <r>
    <n v="34"/>
    <x v="0"/>
    <x v="0"/>
    <x v="0"/>
    <s v="Sector Suyocuyoc ccochayoc"/>
    <x v="1"/>
    <s v="Nayda yapo Amao"/>
    <n v="29"/>
    <s v="F"/>
    <x v="14"/>
    <n v="63121545"/>
    <d v="2024-03-08T00:00:00"/>
    <d v="2025-03-15T00:00:00"/>
    <s v="Capital de Trabajo "/>
    <s v="Café,Palto y Frutales "/>
    <m/>
    <s v="microempresa"/>
    <x v="22"/>
    <s v="LAT:-12.6135899,LON:-72.61760354"/>
    <n v="5"/>
    <n v="4"/>
    <s v="SI"/>
    <s v="SI"/>
    <s v="SI"/>
    <s v="6 años"/>
    <s v="SI"/>
    <s v="SI"/>
    <s v="Huaman Ccarhuaslla Wilmer"/>
    <n v="76125758"/>
    <s v="nuevo"/>
    <s v="no"/>
    <n v="120"/>
    <s v="106052321002082367"/>
    <s v="80600532100208236752"/>
    <s v="CMAC CUSCO"/>
  </r>
  <r>
    <n v="35"/>
    <x v="0"/>
    <x v="0"/>
    <x v="0"/>
    <s v="Sector bombohuactana"/>
    <x v="1"/>
    <s v="Quintana Toribio Felipe"/>
    <n v="59"/>
    <s v="M"/>
    <x v="15"/>
    <n v="24988697"/>
    <d v="2024-03-15T00:00:00"/>
    <d v="2025-03-10T00:00:00"/>
    <s v="Capital de Trabajo "/>
    <s v="Café,Palto y Frutales "/>
    <m/>
    <s v="microempresa"/>
    <x v="23"/>
    <s v="LAT:-12.6645257,LON:-72.47781678"/>
    <n v="5.5"/>
    <n v="5"/>
    <s v="SI"/>
    <s v="SI"/>
    <s v="SI"/>
    <s v="15 AÑOS"/>
    <s v="SI"/>
    <s v="SI"/>
    <s v="Huaman Ccarhuaslla Wilmer"/>
    <n v="76125758"/>
    <s v="recurrente"/>
    <s v="si "/>
    <n v="70"/>
    <s v="106052321002082367"/>
    <s v="80600532100208236752"/>
    <s v="CMAC CUSCO"/>
  </r>
  <r>
    <n v="36"/>
    <x v="0"/>
    <x v="0"/>
    <x v="4"/>
    <s v="Huayanay Paraiso"/>
    <x v="1"/>
    <s v="Maribel Delgado Concha"/>
    <n v="45"/>
    <s v="F"/>
    <x v="6"/>
    <n v="40350437"/>
    <d v="2024-03-11T00:00:00"/>
    <d v="2025-03-11T00:00:00"/>
    <s v="Capital de Trabajo "/>
    <s v="Café,Palto y Frutales "/>
    <m/>
    <s v="microempresa"/>
    <x v="9"/>
    <s v="LAT:-12.73097956,LON:-72.5349370"/>
    <n v="3"/>
    <n v="3"/>
    <s v="SI"/>
    <s v="SI"/>
    <s v="SI"/>
    <s v="11 AÑOS"/>
    <s v="SI"/>
    <s v="SI"/>
    <s v="Huaman Ccarhuaslla Wilmer"/>
    <n v="76125758"/>
    <s v="nuevo"/>
    <s v="no"/>
    <n v="120"/>
    <s v="106052321002082367"/>
    <s v="80600532100208236752"/>
    <s v="CMAC CUSCO"/>
  </r>
  <r>
    <n v="37"/>
    <x v="0"/>
    <x v="0"/>
    <x v="0"/>
    <s v="Sector Miraflores"/>
    <x v="1"/>
    <s v="Almanza Tocre Yenifer"/>
    <n v="29"/>
    <s v="F"/>
    <x v="1"/>
    <n v="71196664"/>
    <d v="2024-03-14T00:00:00"/>
    <d v="2025-03-14T00:00:00"/>
    <s v="Capital de Trabajo "/>
    <s v="Árboles Frutales "/>
    <m/>
    <s v="microempresa"/>
    <x v="22"/>
    <s v="LAT:-126646467,LON:-72.47793999"/>
    <n v="5"/>
    <n v="2"/>
    <s v="SI"/>
    <s v="SI"/>
    <s v="SI"/>
    <s v="17 AÑOS"/>
    <s v="SI"/>
    <s v="SI"/>
    <s v="Huaman Ccarhuaslla Wilmer"/>
    <n v="76125758"/>
    <s v="nuevo"/>
    <s v="no"/>
    <n v="120"/>
    <s v="106052321002082367"/>
    <s v="80600532100208236752"/>
    <s v="CMAC CUSCO"/>
  </r>
  <r>
    <n v="38"/>
    <x v="0"/>
    <x v="0"/>
    <x v="0"/>
    <s v="Sector lorohuachana"/>
    <x v="1"/>
    <s v="Aranibar Huaman Mario"/>
    <n v="61"/>
    <s v="M"/>
    <x v="7"/>
    <n v="24997995"/>
    <d v="2024-02-19T00:00:00"/>
    <d v="2024-08-25T00:00:00"/>
    <s v="Capital de Trabajo "/>
    <s v="Café, Cacao y Frutales "/>
    <m/>
    <s v="microempresa"/>
    <x v="24"/>
    <s v="LAT:-12.58822452,LON:-72.82317254"/>
    <n v="3"/>
    <n v="3"/>
    <s v="SI"/>
    <s v="SI"/>
    <s v="SI"/>
    <s v="13 AÑOS"/>
    <s v="SI"/>
    <s v="SI"/>
    <s v="Huaman Ccarhuaslla Wilmer"/>
    <n v="76125758"/>
    <s v="nuevo"/>
    <s v="no"/>
    <n v="120"/>
    <s v="106052321002082367"/>
    <s v="80600532100208236752"/>
    <s v="CMAC CUSCO"/>
  </r>
  <r>
    <n v="39"/>
    <x v="0"/>
    <x v="0"/>
    <x v="0"/>
    <s v="Sector Miraflores"/>
    <x v="1"/>
    <s v="Challco Quispe Icela"/>
    <n v="34"/>
    <s v="F"/>
    <x v="5"/>
    <n v="46371126"/>
    <d v="2024-02-16T00:00:00"/>
    <d v="2025-02-17T00:00:00"/>
    <s v="Capital de Trabajo "/>
    <s v="Café, Cacao y Frutales "/>
    <m/>
    <s v="microempresa"/>
    <x v="23"/>
    <s v="LAT:-12.56458219,LON:-72.50550201"/>
    <m/>
    <m/>
    <s v="SI"/>
    <s v="SI"/>
    <s v="SI"/>
    <n v="6"/>
    <s v="SI"/>
    <s v="SI"/>
    <s v="Huaman Ccarhuaslla Wilmer"/>
    <n v="76125758"/>
    <s v="recurrente"/>
    <s v="si "/>
    <n v="70"/>
    <s v="106052321002082367"/>
    <s v="80600532100208236752"/>
    <s v="CMAC CUSCO"/>
  </r>
  <r>
    <n v="40"/>
    <x v="0"/>
    <x v="0"/>
    <x v="1"/>
    <s v="Pampa Concepcion"/>
    <x v="1"/>
    <s v="Mamani Suyo Wilson"/>
    <n v="25"/>
    <s v="M"/>
    <x v="5"/>
    <n v="76983784"/>
    <d v="2024-04-09T00:00:00"/>
    <d v="2025-04-09T00:00:00"/>
    <s v="Capital de Trabajo "/>
    <s v="Café, Cacao y Frutales "/>
    <m/>
    <s v="microempresa"/>
    <x v="23"/>
    <s v="LAT:-12.66508472,LON:-72.64305797"/>
    <m/>
    <m/>
    <s v="SI"/>
    <s v="SI"/>
    <s v="SI"/>
    <n v="8"/>
    <s v="SI"/>
    <s v="SI"/>
    <s v="Huaman Ccarhuaslla Wilmer"/>
    <n v="76125758"/>
    <s v="recurrente"/>
    <s v="si "/>
    <n v="70"/>
    <s v="106052321002082367"/>
    <s v="80600532100208236752"/>
    <s v="CMAC CUSCO"/>
  </r>
  <r>
    <n v="41"/>
    <x v="0"/>
    <x v="0"/>
    <x v="0"/>
    <s v="Sector chapu Boyero"/>
    <x v="1"/>
    <s v="miranda mendoza samuel"/>
    <n v="62"/>
    <s v="M"/>
    <x v="1"/>
    <n v="24972730"/>
    <d v="2024-03-26T00:00:00"/>
    <d v="2025-03-21T00:00:00"/>
    <s v="Capital de Trabajo "/>
    <s v="Café, Cacao y Frutales "/>
    <m/>
    <s v="microempresa"/>
    <x v="22"/>
    <s v="LAT:-12.54593943,LON:-72.66581871"/>
    <m/>
    <m/>
    <s v="SI"/>
    <s v="SI"/>
    <s v="SI"/>
    <n v="15"/>
    <s v="SI"/>
    <s v="SI"/>
    <s v="Huaman Ccarhuaslla Wilmer"/>
    <n v="76125758"/>
    <s v="nuevo"/>
    <s v="no"/>
    <n v="120"/>
    <s v="106052321002082367"/>
    <s v="80600532100208236752"/>
    <s v="CMAC CUSCO"/>
  </r>
  <r>
    <n v="42"/>
    <x v="0"/>
    <x v="0"/>
    <x v="0"/>
    <s v="Miraflores las Americas"/>
    <x v="1"/>
    <s v="Bellido Hancco Alfredo"/>
    <n v="43"/>
    <s v="M"/>
    <x v="14"/>
    <n v="43116798"/>
    <d v="2024-04-29T00:00:00"/>
    <d v="2024-11-10T00:00:00"/>
    <s v="Capital de Trabajo "/>
    <s v="Café, Cacao y Frutales "/>
    <m/>
    <s v="microempresa"/>
    <x v="22"/>
    <s v="LAT:-12.6648178,LON:-72.64438066"/>
    <n v="10"/>
    <n v="4"/>
    <s v="SI"/>
    <s v="SI"/>
    <s v="SI"/>
    <n v="10"/>
    <s v="SI"/>
    <s v="SI"/>
    <s v="Huaman Ccarhuaslla Wilmer"/>
    <n v="76125758"/>
    <s v="recurrente"/>
    <s v="si"/>
    <n v="70"/>
    <s v="106052321002082367"/>
    <s v="80600532100208236752"/>
    <s v="CMAC CUSCO"/>
  </r>
  <r>
    <n v="43"/>
    <x v="0"/>
    <x v="0"/>
    <x v="0"/>
    <s v="Sect. Mesa Rumiyoc"/>
    <x v="1"/>
    <s v="gutierrez quispe dominga"/>
    <n v="65"/>
    <s v="F"/>
    <x v="1"/>
    <n v="24972730"/>
    <d v="2024-03-26T00:00:00"/>
    <d v="2025-03-21T00:00:00"/>
    <s v="Capital de Trabajo "/>
    <s v="Café, Cacao y Frutales "/>
    <m/>
    <s v="microempresa"/>
    <x v="22"/>
    <s v="LAT:-12.54557369,LON-72.6653550"/>
    <m/>
    <m/>
    <s v="SI"/>
    <s v="SI"/>
    <s v="SI"/>
    <n v="5"/>
    <s v="SI"/>
    <s v="SI"/>
    <s v="Huaman Ccarhuaslla Wilmer"/>
    <n v="76125758"/>
    <s v="nuevo"/>
    <s v="no"/>
    <n v="120"/>
    <s v="106052321002082367"/>
    <s v="80600532100208236752"/>
    <s v="CMAC CUSCO"/>
  </r>
  <r>
    <n v="44"/>
    <x v="0"/>
    <x v="0"/>
    <x v="0"/>
    <s v="Sector Campanayoc"/>
    <x v="1"/>
    <s v="follano monterroso doris"/>
    <n v="49"/>
    <s v="F"/>
    <x v="13"/>
    <n v="10387241"/>
    <d v="2024-04-09T00:00:00"/>
    <d v="2025-04-09T00:00:00"/>
    <s v="Capital de Trabajo "/>
    <s v="Café, Cacao y Frutales "/>
    <m/>
    <s v="microempresa"/>
    <x v="9"/>
    <s v="LAT:-12.66495471,LON-72.64305183"/>
    <m/>
    <m/>
    <s v="SI"/>
    <s v="SI"/>
    <s v="SI"/>
    <n v="10"/>
    <s v="SI"/>
    <s v="SI"/>
    <s v="Huaman Ccarhuaslla Wilmer"/>
    <n v="76125758"/>
    <s v="nuevo"/>
    <s v="no"/>
    <n v="120"/>
    <s v="106052321002082367"/>
    <s v="80600532100208236752"/>
    <s v="CMAC CUSCO"/>
  </r>
  <r>
    <n v="45"/>
    <x v="0"/>
    <x v="0"/>
    <x v="4"/>
    <s v="Sector Paraiso Huayanay "/>
    <x v="1"/>
    <s v="llerena rimayhuaman gilmar jhon"/>
    <n v="33"/>
    <s v="M"/>
    <x v="3"/>
    <n v="47015418"/>
    <d v="2024-04-15T00:00:00"/>
    <d v="2024-05-01T00:00:00"/>
    <s v="Capital de Trabajo "/>
    <s v="Café, Cacao y Frutales "/>
    <m/>
    <s v="microempresa"/>
    <x v="23"/>
    <s v="LAT:-12.54593952,LON-72.6658160"/>
    <m/>
    <m/>
    <s v="SI"/>
    <s v="SI"/>
    <s v="SI"/>
    <n v="15"/>
    <s v="SI"/>
    <s v="SI"/>
    <s v="Huaman Ccarhuaslla Wilmer"/>
    <n v="76125758"/>
    <s v="recurrente"/>
    <s v="si"/>
    <n v="70"/>
    <s v="106052321002082367"/>
    <s v="80600532100208236752"/>
    <s v="CMAC CUSCO"/>
  </r>
  <r>
    <n v="46"/>
    <x v="0"/>
    <x v="0"/>
    <x v="0"/>
    <s v="Hatumpampa"/>
    <x v="1"/>
    <s v="challco ramos santos"/>
    <n v="63"/>
    <s v="M"/>
    <x v="3"/>
    <n v="24985530"/>
    <d v="2024-02-12T00:00:00"/>
    <d v="2025-02-16T00:00:00"/>
    <s v="Capital de Trabajo "/>
    <s v="Café, Cacao y Frutales "/>
    <m/>
    <s v="microempresa"/>
    <x v="9"/>
    <s v="LAT:-12.62259711,LON-72.54996558"/>
    <m/>
    <m/>
    <s v="SI"/>
    <s v="SI"/>
    <s v="SI"/>
    <n v="10"/>
    <s v="SI"/>
    <s v="SI"/>
    <s v="Huaman Ccarhuaslla Wilmer"/>
    <n v="76125758"/>
    <s v="nuevo"/>
    <s v="no"/>
    <n v="120"/>
    <s v="106052321002082367"/>
    <s v="80600532100208236752"/>
    <s v="CMAC CUSCO"/>
  </r>
  <r>
    <n v="47"/>
    <x v="0"/>
    <x v="0"/>
    <x v="0"/>
    <s v="Sector Lampachaca"/>
    <x v="1"/>
    <s v="bellido ancco wilfredo"/>
    <n v="31"/>
    <s v="M"/>
    <x v="9"/>
    <n v="48503551"/>
    <d v="2024-04-12T00:00:00"/>
    <d v="2025-10-13T00:00:00"/>
    <s v="Capital de Trabajo "/>
    <s v="Café, Cacao y Frutales "/>
    <m/>
    <s v="microempresa"/>
    <x v="10"/>
    <s v="LAT:-12.62253342,LON:-72.5501341"/>
    <m/>
    <m/>
    <s v="SI"/>
    <s v="SI"/>
    <s v="SI"/>
    <n v="5"/>
    <s v="SI"/>
    <s v="SI"/>
    <s v="Huaman Ccarhuaslla Wilmer"/>
    <n v="76125758"/>
    <s v="recurrente"/>
    <s v="si"/>
    <n v="70"/>
    <s v="106052321002082367"/>
    <s v="80600532100208236752"/>
    <s v="CMAC CUSCO"/>
  </r>
  <r>
    <n v="48"/>
    <x v="0"/>
    <x v="0"/>
    <x v="9"/>
    <s v="Sector San pablo"/>
    <x v="1"/>
    <s v="Berrio Ccasani Santusa"/>
    <n v="59"/>
    <s v="F"/>
    <x v="10"/>
    <n v="25005850"/>
    <d v="2024-02-10T00:00:00"/>
    <d v="2025-02-10T00:00:00"/>
    <s v="Capital de Trabajo "/>
    <s v="Café, Cacao y Frutales "/>
    <m/>
    <s v="microempresa"/>
    <x v="25"/>
    <s v="LAT:-13.0088,LON:-72.621"/>
    <n v="8.5"/>
    <n v="6"/>
    <s v="SI"/>
    <s v="SI"/>
    <s v="SI"/>
    <s v="4 Años"/>
    <s v="SI"/>
    <s v="SI"/>
    <s v="Jennifer Celeste Montesinos Cruz"/>
    <n v="72687201"/>
    <s v="recurrente"/>
    <s v="si "/>
    <n v="70"/>
    <s v="106052321002070016"/>
    <s v="80600532100207001659"/>
    <s v="CMAC CUSCO"/>
  </r>
  <r>
    <n v="49"/>
    <x v="0"/>
    <x v="0"/>
    <x v="1"/>
    <s v="Sector Chaupinayoc"/>
    <x v="1"/>
    <s v="velasquez cucchi Bianca"/>
    <n v="39"/>
    <s v="F"/>
    <x v="7"/>
    <n v="43155501"/>
    <d v="2024-03-30T00:00:00"/>
    <d v="2025-04-02T00:00:00"/>
    <s v="Capital de Trabajo "/>
    <s v="Café, Cacao y Frutales "/>
    <m/>
    <s v="microempresa"/>
    <x v="9"/>
    <s v="LAT:-12.71065, LON:-72.4877"/>
    <n v="1.5"/>
    <n v="1.5"/>
    <s v="SI"/>
    <s v="SI"/>
    <s v="SI"/>
    <n v="5"/>
    <s v="SI"/>
    <s v="SI"/>
    <s v="Jennifer Celeste Montesinos Cruz"/>
    <n v="72687201"/>
    <s v="recurrente"/>
    <s v="si "/>
    <n v="70"/>
    <s v="106052321002070016"/>
    <s v="80600532100207001659"/>
    <s v="CMAC CUSCO"/>
  </r>
  <r>
    <n v="50"/>
    <x v="0"/>
    <x v="0"/>
    <x v="1"/>
    <s v="Palmayoc Sector soccoschayoc"/>
    <x v="1"/>
    <s v="Ancco Palomino Celsa"/>
    <n v="58"/>
    <s v="F"/>
    <x v="1"/>
    <n v="24956468"/>
    <d v="2024-03-25T00:00:00"/>
    <d v="2025-03-20T00:00:00"/>
    <s v="Capital de Trabajo "/>
    <s v="Café, Cacao y Frutales "/>
    <m/>
    <s v="microempresa"/>
    <x v="22"/>
    <s v="LAT:-12.59135, LON:-72.6624"/>
    <n v="2"/>
    <n v="2"/>
    <s v="SI"/>
    <s v="SI"/>
    <s v="SI"/>
    <n v="20"/>
    <s v="SI"/>
    <s v="SI"/>
    <s v="Jennifer Celeste Montesinos Cruz"/>
    <n v="72687201"/>
    <s v="nuevo"/>
    <s v="no"/>
    <n v="120"/>
    <s v="106052321002070016"/>
    <s v="80600532100207001659"/>
    <s v="CMAC CUSCO"/>
  </r>
  <r>
    <n v="51"/>
    <x v="0"/>
    <x v="0"/>
    <x v="1"/>
    <s v="anexo Chayña Puerto"/>
    <x v="1"/>
    <s v="Gamboa Enriquez Bernardino"/>
    <n v="62"/>
    <s v="M"/>
    <x v="7"/>
    <n v="24950610"/>
    <d v="2024-04-05T00:00:00"/>
    <d v="2025-03-31T00:00:00"/>
    <s v="Capital de Trabajo "/>
    <s v="Café, Cacao y Frutales "/>
    <m/>
    <s v="microempresa"/>
    <x v="9"/>
    <s v="LAT:-12.68395,LON:-72.544"/>
    <n v="2"/>
    <n v="2"/>
    <s v="SI"/>
    <s v="SI"/>
    <s v="SI"/>
    <n v="10"/>
    <s v="SI"/>
    <s v="SI"/>
    <s v="Jennifer Celeste Montesinos Cruz"/>
    <n v="72687201"/>
    <s v="nuevo"/>
    <s v="no"/>
    <n v="120"/>
    <s v="106052321002070016"/>
    <s v="80600532100207001659"/>
    <s v="CMAC CUSCO"/>
  </r>
  <r>
    <n v="52"/>
    <x v="0"/>
    <x v="0"/>
    <x v="0"/>
    <s v="sector sata rosa"/>
    <x v="1"/>
    <s v="Vega Canlla Yari"/>
    <n v="37"/>
    <s v="F"/>
    <x v="1"/>
    <n v="44595061"/>
    <d v="2024-04-12T00:00:00"/>
    <d v="2025-04-08T00:00:00"/>
    <s v="Capital de Trabajo "/>
    <s v="Café, Cacao y Frutales "/>
    <m/>
    <s v="microempresa"/>
    <x v="22"/>
    <s v="LAT.-12.6536, LON:-72.4433"/>
    <n v="2"/>
    <n v="2"/>
    <s v="SI"/>
    <s v="SI"/>
    <s v="SI"/>
    <n v="5"/>
    <s v="SI"/>
    <s v="SI"/>
    <s v="Jennifer Celeste Montesinos Cruz"/>
    <n v="72687201"/>
    <s v="recurrente"/>
    <s v="si "/>
    <n v="70"/>
    <s v="106052321002070016"/>
    <s v="80600532100207001659"/>
    <s v="CMAC CUSCO"/>
  </r>
  <r>
    <n v="53"/>
    <x v="0"/>
    <x v="0"/>
    <x v="0"/>
    <s v="sector Yavero Chico"/>
    <x v="1"/>
    <s v="Escobar Carhuaslla Beatriz"/>
    <n v="29"/>
    <s v="F"/>
    <x v="16"/>
    <n v="77668223"/>
    <d v="2024-05-18T00:00:00"/>
    <d v="2024-11-18T00:00:00"/>
    <s v="Capital de Trabajo "/>
    <s v="Café, Cacao y Frutales "/>
    <m/>
    <s v="microempresa"/>
    <x v="26"/>
    <s v="LAT:-12.77375555, LON:-72.6705336"/>
    <m/>
    <m/>
    <s v="SI"/>
    <s v="SI"/>
    <s v="SI"/>
    <n v="4"/>
    <s v="SI"/>
    <s v="SI"/>
    <s v="Huaman Ccarhuaslla Wilmer"/>
    <n v="76125758"/>
    <s v="recurrente"/>
    <s v="si"/>
    <n v="70"/>
    <s v="106052321002082367"/>
    <s v="80600532100208236752"/>
    <s v="CMAC CUSCO"/>
  </r>
  <r>
    <n v="54"/>
    <x v="0"/>
    <x v="0"/>
    <x v="0"/>
    <s v="Sector lorohuachana alto"/>
    <x v="1"/>
    <s v="Escobedo Valenzuela Yamil Brahan"/>
    <n v="24"/>
    <s v="M"/>
    <x v="11"/>
    <n v="60202811"/>
    <d v="2024-05-21T00:00:00"/>
    <d v="2025-05-16T00:00:00"/>
    <s v="Capital de Trabajo "/>
    <s v="Café, Cacao y Frutales "/>
    <m/>
    <s v="microempresa"/>
    <x v="27"/>
    <s v="LAT:-12.59899197,LON:-72.53308441"/>
    <m/>
    <m/>
    <s v="SI"/>
    <s v="SI"/>
    <s v="SI"/>
    <n v="5"/>
    <s v="SI"/>
    <s v="SI"/>
    <s v="Huaman Ccarhuaslla Wilmer"/>
    <n v="76125758"/>
    <s v="recurrente"/>
    <s v="si"/>
    <n v="70"/>
    <s v="106052321002082367"/>
    <s v="80600532100208236752"/>
    <s v="CMAC CUSCO"/>
  </r>
  <r>
    <n v="55"/>
    <x v="0"/>
    <x v="0"/>
    <x v="9"/>
    <s v="Zona Chonta"/>
    <x v="1"/>
    <s v="Saire Farfan Washington"/>
    <n v="64"/>
    <s v="M"/>
    <x v="5"/>
    <n v="23918813"/>
    <d v="2023-05-13T00:00:00"/>
    <d v="2024-11-13T00:00:00"/>
    <s v="Capital de Trabajo "/>
    <s v="Café, Cacao y Frutales "/>
    <m/>
    <s v="microempresa"/>
    <x v="28"/>
    <s v="LAT:-13.62258841,LON:-72.54998739"/>
    <m/>
    <m/>
    <s v="SI"/>
    <s v="SI"/>
    <s v="SI"/>
    <n v="20"/>
    <s v="SI"/>
    <s v="SI"/>
    <s v="Huaman Ccarhuaslla Wilmer"/>
    <n v="76125758"/>
    <s v="recurrente"/>
    <s v="no"/>
    <n v="120"/>
    <s v="106052321002082367"/>
    <s v="80600532100208236752"/>
    <s v="CMAC CUSCO"/>
  </r>
  <r>
    <n v="56"/>
    <x v="0"/>
    <x v="0"/>
    <x v="9"/>
    <s v="Zona Alfamayo"/>
    <x v="1"/>
    <s v="Serrano Alfaro Edie Yamil"/>
    <n v="32"/>
    <s v="M"/>
    <x v="6"/>
    <n v="47095849"/>
    <d v="2024-05-09T00:00:00"/>
    <d v="2025-05-09T00:00:00"/>
    <s v="Capital de Trabajo "/>
    <s v="Café, Cacao y Frutales "/>
    <m/>
    <s v="microempresa"/>
    <x v="9"/>
    <s v="LAT:-12.8335504, LON:-72.66141491"/>
    <m/>
    <m/>
    <s v="SI"/>
    <s v="SI"/>
    <s v="SI"/>
    <n v="7"/>
    <s v="SI"/>
    <s v="SI"/>
    <s v="Huaman Ccarhuaslla Wilmer"/>
    <n v="76125758"/>
    <s v="recurrente"/>
    <s v="si"/>
    <n v="70"/>
    <s v="106052321002082367"/>
    <s v="80600532100208236752"/>
    <s v="CMAC CUSCO"/>
  </r>
  <r>
    <n v="57"/>
    <x v="0"/>
    <x v="0"/>
    <x v="0"/>
    <s v="Zona Achupallayoc"/>
    <x v="1"/>
    <s v="Roman  Quispe Cristobal "/>
    <n v="53"/>
    <s v="M"/>
    <x v="14"/>
    <n v="24997845"/>
    <d v="2024-04-29T00:00:00"/>
    <d v="2025-05-08T00:00:00"/>
    <s v="Capital de Trabajo "/>
    <s v="Café, Cacao y Frutales "/>
    <m/>
    <s v="microempresa"/>
    <x v="22"/>
    <s v="LAT:-12.77710678,LON:-72.59974897"/>
    <m/>
    <m/>
    <s v="SI"/>
    <s v="SI"/>
    <s v="SI"/>
    <n v="12"/>
    <s v="SI"/>
    <s v="SI"/>
    <s v="Huaman Ccarhuaslla Wilmer"/>
    <n v="76125758"/>
    <s v="recurrente"/>
    <s v="no"/>
    <n v="120"/>
    <s v="106052321002082367"/>
    <s v="80600532100208236752"/>
    <s v="CMAC CUSCO"/>
  </r>
  <r>
    <n v="58"/>
    <x v="0"/>
    <x v="0"/>
    <x v="4"/>
    <s v="Sector Huaynay alta"/>
    <x v="1"/>
    <s v="Noa Checca Alejandrina "/>
    <n v="55"/>
    <s v="F"/>
    <x v="16"/>
    <n v="24992152"/>
    <d v="2024-04-30T00:00:00"/>
    <d v="2024-11-03T00:00:00"/>
    <s v="Capital de Trabajo "/>
    <s v="Café, Cacao y Frutales "/>
    <m/>
    <s v="microempresa"/>
    <x v="29"/>
    <s v="LAT:-12.73326781,LON:-72.5727357"/>
    <m/>
    <m/>
    <s v="SI"/>
    <s v="SI"/>
    <s v="SI"/>
    <n v="15"/>
    <s v="SI"/>
    <s v="SI"/>
    <s v="Huaman Ccarhuaslla Wilmer"/>
    <n v="76125758"/>
    <s v="recurrente"/>
    <s v="no"/>
    <n v="120"/>
    <s v="106052321002082367"/>
    <s v="80600532100208236752"/>
    <s v="CMAC CUSCO"/>
  </r>
  <r>
    <n v="59"/>
    <x v="0"/>
    <x v="0"/>
    <x v="1"/>
    <s v="Echarate"/>
    <x v="1"/>
    <s v="Rimayhuaman Yupanqui Victoria"/>
    <n v="61"/>
    <s v="F"/>
    <x v="7"/>
    <n v="24944112"/>
    <d v="2024-03-18T00:00:00"/>
    <d v="2025-03-18T00:00:00"/>
    <s v="Capital de Trabajo "/>
    <s v="Café, Cacao y Frutales "/>
    <m/>
    <s v="microempresa"/>
    <x v="9"/>
    <s v="LAT:-12.77378278,LON:-72.67051751"/>
    <m/>
    <m/>
    <s v="SI"/>
    <s v="SI"/>
    <s v="SI"/>
    <n v="20"/>
    <s v="SI"/>
    <s v="SI"/>
    <s v="Huaman Ccarhuaslla Wilmer"/>
    <n v="76125758"/>
    <s v="recurrente"/>
    <s v="si"/>
    <n v="70"/>
    <s v="106052321002082367"/>
    <s v="80600532100208236752"/>
    <s v="CMAC CUSCO"/>
  </r>
  <r>
    <n v="60"/>
    <x v="0"/>
    <x v="0"/>
    <x v="4"/>
    <s v="Zona Belen Pata"/>
    <x v="1"/>
    <s v="Viza Quispe Escolastica"/>
    <n v="61"/>
    <s v="F"/>
    <x v="3"/>
    <n v="25212083"/>
    <d v="2024-05-08T00:00:00"/>
    <d v="2025-05-07T00:00:00"/>
    <s v="Capital de Trabajo "/>
    <s v="Café, Cacao y Frutales "/>
    <m/>
    <s v="microempresa"/>
    <x v="9"/>
    <s v="LAT:-1277657488,LON:-72.66837472"/>
    <m/>
    <m/>
    <s v="SI"/>
    <s v="SI"/>
    <s v="SI"/>
    <n v="25"/>
    <s v="SI"/>
    <s v="SI"/>
    <s v="Huaman Ccarhuaslla Wilmer"/>
    <n v="76125758"/>
    <s v="recurrente"/>
    <s v="si"/>
    <n v="70"/>
    <s v="106052321002082367"/>
    <s v="80600532100208236752"/>
    <s v="CMAC CUSCO"/>
  </r>
  <r>
    <n v="61"/>
    <x v="0"/>
    <x v="0"/>
    <x v="0"/>
    <s v="Yavero Chico"/>
    <x v="1"/>
    <s v="Bellido Hancco Manuel Alfredo"/>
    <n v="43"/>
    <s v="M"/>
    <x v="14"/>
    <n v="43116798"/>
    <d v="2024-04-29T00:00:00"/>
    <d v="2024-11-10T00:00:00"/>
    <s v="Capital de Trabajo "/>
    <s v="Café, Cacao y Frutales "/>
    <m/>
    <s v="microempresa"/>
    <x v="22"/>
    <s v="LAT:-12.66481738,LON:-72.64438066"/>
    <m/>
    <m/>
    <s v="SI"/>
    <s v="SI"/>
    <s v="SI"/>
    <n v="10"/>
    <s v="SI"/>
    <s v="SI"/>
    <s v="Huaman Ccarhuaslla Wilmer"/>
    <n v="76125758"/>
    <s v="recurrente"/>
    <s v="si"/>
    <n v="70"/>
    <s v="106052321002082367"/>
    <s v="80600532100208236752"/>
    <s v="CMAC CUSCO"/>
  </r>
  <r>
    <n v="62"/>
    <x v="0"/>
    <x v="0"/>
    <x v="1"/>
    <s v="Sector de Ivanqui Palma Real"/>
    <x v="1"/>
    <s v="Manaccasa Ttito Juan Carlos"/>
    <n v="40"/>
    <s v="M"/>
    <x v="4"/>
    <n v="42532850"/>
    <d v="2024-05-09T00:00:00"/>
    <d v="2024-05-09T00:00:00"/>
    <s v="Capital de Trabajo "/>
    <s v="Café, Cacao y Frutales "/>
    <m/>
    <s v="microempresa"/>
    <x v="30"/>
    <s v="LAT.:-12.5912 , LON:-72.7237"/>
    <m/>
    <m/>
    <s v="SI"/>
    <s v="SI"/>
    <s v="SI"/>
    <n v="10"/>
    <s v="SI"/>
    <s v="SI"/>
    <s v="Rimachi escobar Abel Antonio"/>
    <n v="48469689"/>
    <s v="recurrente"/>
    <s v="si "/>
    <n v="70"/>
    <s v="106052321001972979"/>
    <s v="80600532100197297959"/>
    <s v="CMAC CUSC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">
  <r>
    <x v="0"/>
    <s v="Cusco "/>
    <x v="0"/>
    <x v="0"/>
    <s v="Sector/ Pichari"/>
    <x v="0"/>
    <s v="Fredy Regaño Alarcon"/>
    <n v="48"/>
    <s v="M"/>
    <n v="50000"/>
    <n v="80401382"/>
    <d v="2023-12-28T00:00:00"/>
    <d v="2027-12-28T00:00:00"/>
    <s v="Capital de Trabajo "/>
    <s v="Café, Cacao y Frutales "/>
    <s v="Produccion de te"/>
    <s v="microempresa"/>
    <x v="0"/>
    <s v="LAT: -12.480750, LON: -72.783180"/>
    <n v="24.94"/>
    <n v="4"/>
    <s v="SI"/>
    <s v="SI"/>
    <s v="SI"/>
    <n v="10"/>
    <s v="SI"/>
    <s v="SI"/>
    <s v="Puente de la Vega Quispe Carlos Javier"/>
    <n v="46833208"/>
    <x v="0"/>
    <x v="0"/>
    <n v="70"/>
    <s v="106602321000029629"/>
    <s v="80606032100002962905"/>
    <s v="CMAC CUSCO"/>
  </r>
  <r>
    <x v="1"/>
    <s v="Cusco "/>
    <x v="0"/>
    <x v="1"/>
    <s v="Sector/ Pispita"/>
    <x v="0"/>
    <s v="Richard Cristhian Contreras Segovia"/>
    <n v="47"/>
    <s v="M"/>
    <n v="3000"/>
    <n v="25012150"/>
    <d v="2023-12-28T00:00:00"/>
    <d v="2025-06-28T00:00:00"/>
    <s v="Capital de Trabajo "/>
    <s v="Cacao y Paco "/>
    <s v="crianza de paco"/>
    <s v="microempresa"/>
    <x v="1"/>
    <s v="LAT: -12.758357, LON: -72.578709"/>
    <n v="3"/>
    <n v="1"/>
    <s v="SI"/>
    <s v="SI"/>
    <s v="SI"/>
    <n v="5"/>
    <s v="SI"/>
    <s v="SI"/>
    <s v="Puente de la Vega Quispe Carlos Javier"/>
    <n v="46833208"/>
    <x v="0"/>
    <x v="0"/>
    <n v="70"/>
    <s v="106602321000029629"/>
    <s v="80606032100002962905"/>
    <s v="CMAC CUSCO"/>
  </r>
  <r>
    <x v="2"/>
    <s v="Cusco "/>
    <x v="0"/>
    <x v="1"/>
    <s v="Caserio/ Calpampa"/>
    <x v="0"/>
    <s v="Efrain Hilares Paja"/>
    <n v="43"/>
    <s v="M"/>
    <n v="20000"/>
    <n v="40973753"/>
    <d v="2023-12-28T00:00:00"/>
    <d v="2026-01-01T00:00:00"/>
    <s v="Capital de Trabajo "/>
    <s v="cacao "/>
    <s v="Produccion de café y te"/>
    <s v="microempresa"/>
    <x v="2"/>
    <s v="LAT: -12.769319, LON: -72.575778"/>
    <n v="15"/>
    <n v="2"/>
    <s v="SI"/>
    <s v="SI"/>
    <s v="SI"/>
    <n v="6"/>
    <s v="SI"/>
    <s v="SI"/>
    <s v="Puente de la Vega Quispe Carlos Javier"/>
    <n v="46833208"/>
    <x v="0"/>
    <x v="0"/>
    <n v="70"/>
    <s v="106602321000029629"/>
    <s v="80606032100002962905"/>
    <s v="CMAC CUSCO"/>
  </r>
  <r>
    <x v="3"/>
    <s v="Cusco "/>
    <x v="0"/>
    <x v="1"/>
    <s v="Sector/ San Agustin"/>
    <x v="0"/>
    <s v="Magaret Aymachoque Ccahua"/>
    <n v="45"/>
    <s v="F"/>
    <n v="1000"/>
    <n v="42904898"/>
    <d v="2023-12-28T00:00:00"/>
    <d v="2025-01-01T00:00:00"/>
    <s v="Capital de Trabajo "/>
    <s v="Árboles Frutales "/>
    <m/>
    <s v="microempresa"/>
    <x v="3"/>
    <s v="LAT: -12.756229, LON: -72.581614"/>
    <n v="5"/>
    <n v="1"/>
    <s v="SI"/>
    <s v="SI"/>
    <s v="SI"/>
    <n v="6"/>
    <s v="SI"/>
    <s v="SI"/>
    <s v="Puente de la Vega Quispe Carlos Javier"/>
    <n v="46833208"/>
    <x v="0"/>
    <x v="0"/>
    <n v="70"/>
    <s v="106602321000029629"/>
    <s v="80606032100002962905"/>
    <s v="CMAC CUSCO"/>
  </r>
  <r>
    <x v="4"/>
    <s v="Cusco "/>
    <x v="0"/>
    <x v="1"/>
    <s v="Alto Rosalinas/Calaminayoc"/>
    <x v="0"/>
    <s v="Barcena Usca Alfredo"/>
    <n v="43"/>
    <s v="M"/>
    <n v="30000"/>
    <n v="42476104"/>
    <d v="2023-01-05T00:00:00"/>
    <d v="2028-01-02T00:00:00"/>
    <s v="Capital de Trabajo "/>
    <s v="Café, Cacao y Frutales "/>
    <m/>
    <s v="microempresa"/>
    <x v="4"/>
    <s v="LAT: -12.645953, LON: -72.689614"/>
    <n v="5"/>
    <n v="1"/>
    <s v="SI"/>
    <s v="SI"/>
    <s v="SI"/>
    <n v="10"/>
    <s v="SI"/>
    <s v="SI"/>
    <s v="Puente de la Vega Quispe Carlos Javier"/>
    <n v="46833208"/>
    <x v="0"/>
    <x v="0"/>
    <n v="70"/>
    <s v="106602321000029629"/>
    <s v="80606032100002962905"/>
    <s v="CMAC CUSCO"/>
  </r>
  <r>
    <x v="5"/>
    <s v="Cusco "/>
    <x v="0"/>
    <x v="2"/>
    <s v="Lucmapampa Chaupimayo Santa Teresa"/>
    <x v="0"/>
    <s v="Champi Aranzabal Vilma"/>
    <n v="45"/>
    <s v="F"/>
    <n v="5000"/>
    <n v="40343713"/>
    <d v="2024-01-09T00:00:00"/>
    <d v="2025-01-03T00:00:00"/>
    <s v="Capital de Trabajo "/>
    <s v="Café,Palto y Frutales "/>
    <m/>
    <s v="microempresa"/>
    <x v="5"/>
    <s v="LAT: -13.041039, LON: -72.697408"/>
    <n v="4"/>
    <n v="2"/>
    <s v="SI"/>
    <s v="SI"/>
    <s v="SI"/>
    <n v="10"/>
    <s v="SI"/>
    <s v="SI"/>
    <s v="Puente de la Vega Quispe Carlos Javier"/>
    <n v="46833208"/>
    <x v="0"/>
    <x v="0"/>
    <n v="70"/>
    <s v="106602321000029629"/>
    <s v="80606032100002962905"/>
    <s v="CMAC CUSCO"/>
  </r>
  <r>
    <x v="6"/>
    <s v="Cusco "/>
    <x v="0"/>
    <x v="3"/>
    <s v="Sector Chinche "/>
    <x v="0"/>
    <s v="Lozano Ninantay Griselda"/>
    <n v="57"/>
    <s v="F"/>
    <n v="2500"/>
    <n v="24969889"/>
    <d v="2024-01-10T00:00:00"/>
    <d v="2025-01-03T00:00:00"/>
    <s v="Capital de Trabajo "/>
    <s v="Árboles Frutales "/>
    <m/>
    <s v="microempresa"/>
    <x v="6"/>
    <s v="LAT: -12.968657, LON: -72.656492"/>
    <n v="2"/>
    <n v="1"/>
    <s v="SI"/>
    <s v="SI"/>
    <s v="SI"/>
    <n v="10"/>
    <s v="SI"/>
    <s v="SI"/>
    <s v="Puente de la Vega Quispe Carlos Javier"/>
    <n v="46833208"/>
    <x v="0"/>
    <x v="0"/>
    <n v="70"/>
    <s v="106602321000029629"/>
    <s v="80606032100002962905"/>
    <s v="CMAC CUSCO"/>
  </r>
  <r>
    <x v="7"/>
    <s v="Cusco "/>
    <x v="0"/>
    <x v="3"/>
    <s v="Sector moyomonte alto "/>
    <x v="0"/>
    <s v="Arias Huaman Milagrito Roxana"/>
    <n v="48"/>
    <s v="F"/>
    <n v="2000"/>
    <n v="25328719"/>
    <d v="2024-01-22T00:00:00"/>
    <d v="2025-01-16T00:00:00"/>
    <s v="Capital de Trabajo "/>
    <s v="Árboles Frutales "/>
    <m/>
    <s v="microempresa"/>
    <x v="7"/>
    <s v="LAT: -12.959581, LON: -72.672316"/>
    <n v="2"/>
    <n v="1"/>
    <s v="SI"/>
    <s v="SI"/>
    <s v="SI"/>
    <n v="5"/>
    <s v="SI"/>
    <s v="SI"/>
    <s v="Puente de la Vega Quispe Carlos Javier"/>
    <n v="46833208"/>
    <x v="0"/>
    <x v="0"/>
    <n v="70"/>
    <s v="106602321000029629"/>
    <s v="80606032100002962905"/>
    <s v="CMAC CUSCO"/>
  </r>
  <r>
    <x v="8"/>
    <s v="Cusco "/>
    <x v="0"/>
    <x v="3"/>
    <s v="Sectoe Uchumayo"/>
    <x v="0"/>
    <s v="Valdeiglesia Arias Misuri Corria"/>
    <n v="25"/>
    <s v="F"/>
    <n v="1000"/>
    <n v="76847088"/>
    <d v="2024-01-22T00:00:00"/>
    <d v="2025-01-22T00:00:00"/>
    <s v="Capital de Trabajo "/>
    <s v="Árboles Frutales "/>
    <m/>
    <s v="microempresa"/>
    <x v="3"/>
    <s v="LAT: -12.959581, LON: -72.672297"/>
    <n v="1"/>
    <n v="1"/>
    <s v="SI"/>
    <s v="SI"/>
    <s v="SI"/>
    <n v="3"/>
    <s v="SI"/>
    <s v="SI"/>
    <s v="Puente de la Vega Quispe Carlos Javier"/>
    <n v="46833208"/>
    <x v="0"/>
    <x v="0"/>
    <n v="70"/>
    <s v="106602321000029629"/>
    <s v="80606032100002962905"/>
    <s v="CMAC CUSCO"/>
  </r>
  <r>
    <x v="9"/>
    <s v="Cusco "/>
    <x v="0"/>
    <x v="4"/>
    <s v="Dorminduyoc"/>
    <x v="1"/>
    <s v="Ramos Diaz Pilar"/>
    <n v="43"/>
    <s v="F"/>
    <n v="8000"/>
    <n v="24941971"/>
    <d v="2024-02-07T00:00:00"/>
    <d v="2024-08-08T00:00:00"/>
    <s v="Capital de Trabajo "/>
    <s v="Café, Cacao y Frutales "/>
    <m/>
    <s v="microempresa"/>
    <x v="8"/>
    <s v="LAT:-12.7815000,LON:-72.6301000"/>
    <n v="3"/>
    <n v="3"/>
    <s v="SI"/>
    <s v="SI"/>
    <s v="SI"/>
    <n v="5"/>
    <s v="SI"/>
    <s v="SI"/>
    <s v="Gonzales Atausupa, Mary Shila"/>
    <m/>
    <x v="0"/>
    <x v="0"/>
    <n v="70"/>
    <m/>
    <m/>
    <s v="CMAC CUSCO"/>
  </r>
  <r>
    <x v="10"/>
    <s v="Cusco "/>
    <x v="0"/>
    <x v="5"/>
    <s v="Sector Chinganilla"/>
    <x v="2"/>
    <s v="Arcaya Suarez Shalda"/>
    <n v="32"/>
    <s v="F"/>
    <n v="2000"/>
    <n v="47002066"/>
    <d v="2024-03-24T00:00:00"/>
    <d v="2025-03-25T00:00:00"/>
    <s v="Capital de Trabajo "/>
    <s v="Café, Cacao y Frutales "/>
    <m/>
    <s v="microempresa"/>
    <x v="9"/>
    <s v="LAT:-12.6577,LON:-72.3820"/>
    <n v="3"/>
    <n v="3"/>
    <s v="SI"/>
    <s v="SI"/>
    <s v="SI"/>
    <n v="5"/>
    <s v="SI"/>
    <s v="SI"/>
    <s v="Perez Quispe Ronal Arturo"/>
    <m/>
    <x v="1"/>
    <x v="1"/>
    <n v="120"/>
    <m/>
    <m/>
    <s v="CMAC CUSCO"/>
  </r>
  <r>
    <x v="11"/>
    <s v="Cusco "/>
    <x v="0"/>
    <x v="4"/>
    <s v="Huayanay alta"/>
    <x v="1"/>
    <s v="Quispe Ttito Yony"/>
    <n v="52"/>
    <s v="F"/>
    <n v="15000"/>
    <n v="23969077"/>
    <d v="2024-02-07T00:00:00"/>
    <d v="2025-08-10T00:00:00"/>
    <s v="Capital de Trabajo "/>
    <s v="Café, Cacao y Frutales "/>
    <m/>
    <s v="microempresa"/>
    <x v="10"/>
    <s v="LAT:-12.82350,LON:-72.64370"/>
    <n v="4"/>
    <n v="3"/>
    <s v="SI"/>
    <s v="SI"/>
    <s v="SI"/>
    <n v="5"/>
    <s v="SI"/>
    <s v="SI"/>
    <s v="Ccori Acsaraya Katerin Rosmery"/>
    <m/>
    <x v="1"/>
    <x v="1"/>
    <n v="120"/>
    <m/>
    <m/>
    <s v="CMAC CUSCO"/>
  </r>
  <r>
    <x v="12"/>
    <s v="Cusco "/>
    <x v="0"/>
    <x v="1"/>
    <s v="sector Chayña puerto"/>
    <x v="1"/>
    <s v="Enriquez Espinoza Raul"/>
    <n v="51"/>
    <s v="M"/>
    <n v="20000"/>
    <n v="24993979"/>
    <d v="2024-03-04T00:00:00"/>
    <d v="2025-02-27T00:00:00"/>
    <s v="Capital de Trabajo "/>
    <s v="Café, Cacao y Frutales "/>
    <m/>
    <s v="microempresa"/>
    <x v="11"/>
    <s v="LAT:-72.521877,LON:-72.521877"/>
    <n v="25"/>
    <n v="5"/>
    <s v="SI"/>
    <s v="SI"/>
    <s v="SI"/>
    <n v="8"/>
    <s v="SI"/>
    <s v="SI"/>
    <s v="Rimachi escobar Abel Antonio"/>
    <n v="48469689"/>
    <x v="0"/>
    <x v="0"/>
    <n v="70"/>
    <s v="106052321001972979"/>
    <s v="80600532100197297959"/>
    <s v="CMAC CUSCO"/>
  </r>
  <r>
    <x v="13"/>
    <s v="Cusco "/>
    <x v="0"/>
    <x v="0"/>
    <s v="sector de lorohuachana"/>
    <x v="1"/>
    <s v="Enciso Condori Max Emerson"/>
    <n v="42"/>
    <s v="M"/>
    <n v="30000"/>
    <n v="42055740"/>
    <d v="2023-03-09T00:00:00"/>
    <d v="2027-02-22T00:00:00"/>
    <s v="Capital de Trabajo "/>
    <s v="Café, Cacao y Frutales "/>
    <m/>
    <s v="microempresa"/>
    <x v="11"/>
    <s v="LAT:-12.610723,LON:-72.521877"/>
    <n v="8"/>
    <n v="3"/>
    <s v="SI"/>
    <s v="SI"/>
    <s v="SI"/>
    <n v="10"/>
    <s v="SI"/>
    <s v="SI"/>
    <s v="Rimachi escobar Abel Antonio"/>
    <n v="48469689"/>
    <x v="0"/>
    <x v="0"/>
    <n v="70"/>
    <s v="106052321001972979"/>
    <s v="80600532100197297959"/>
    <s v="CMAC CUSCO"/>
  </r>
  <r>
    <x v="14"/>
    <s v="Cusco "/>
    <x v="0"/>
    <x v="4"/>
    <s v="sector pampa concepcion"/>
    <x v="1"/>
    <s v="Olivera Puma Gissela"/>
    <n v="33"/>
    <s v="F"/>
    <n v="30000"/>
    <n v="48061352"/>
    <d v="2024-03-14T00:00:00"/>
    <d v="2025-03-19T00:00:00"/>
    <s v="Capital de Trabajo "/>
    <s v="Café, Cacao y Frutales "/>
    <m/>
    <s v="microempresa"/>
    <x v="12"/>
    <s v="LAT:-12.722856,LON:-72.553122"/>
    <n v="10"/>
    <n v="4"/>
    <s v="SI"/>
    <s v="SI"/>
    <s v="SI"/>
    <n v="5"/>
    <s v="SI"/>
    <s v="SI"/>
    <s v="Rimachi escobar Abel Antonio"/>
    <n v="48469689"/>
    <x v="0"/>
    <x v="0"/>
    <n v="70"/>
    <s v="106052321001972979"/>
    <s v="80600532100197297959"/>
    <s v="CMAC CUSCO"/>
  </r>
  <r>
    <x v="15"/>
    <s v="Cusco "/>
    <x v="0"/>
    <x v="0"/>
    <s v="sector chochayoc bajo"/>
    <x v="1"/>
    <s v="Yucra Huaman Alicia"/>
    <n v="41"/>
    <s v="F"/>
    <n v="10000"/>
    <n v="42163419"/>
    <d v="2024-03-12T00:00:00"/>
    <d v="2025-03-12T00:00:00"/>
    <s v="Capital de Trabajo "/>
    <s v="Café, Cacao y Frutales "/>
    <m/>
    <s v="microempresa"/>
    <x v="13"/>
    <s v="LAT:-12.599717,LON:-72.682624"/>
    <n v="5"/>
    <n v="3"/>
    <s v="SI"/>
    <s v="SI"/>
    <s v="SI"/>
    <n v="6"/>
    <s v="SI"/>
    <s v="SI"/>
    <s v="Rimachi escobar Abel Antonio"/>
    <n v="48469689"/>
    <x v="0"/>
    <x v="0"/>
    <n v="70"/>
    <s v="106052321001972979"/>
    <s v="80600532100197297959"/>
    <s v="CMAC CUSCO"/>
  </r>
  <r>
    <x v="16"/>
    <s v="Cusco "/>
    <x v="0"/>
    <x v="0"/>
    <s v="sector alto pabellon"/>
    <x v="1"/>
    <s v="Barreto Barreto Isidro"/>
    <n v="62"/>
    <s v="M"/>
    <n v="6000"/>
    <n v="24998121"/>
    <d v="2024-01-25T00:00:00"/>
    <d v="2024-07-23T00:00:00"/>
    <s v="Activo Fijo"/>
    <s v="Café, Cacao y Frutales "/>
    <m/>
    <s v="microempresa"/>
    <x v="14"/>
    <s v="LAT:-12.59978, LON:-72.682683"/>
    <n v="11"/>
    <n v="4"/>
    <s v="SI"/>
    <s v="SI"/>
    <s v="SI"/>
    <n v="10"/>
    <s v="SI"/>
    <s v="SI"/>
    <s v="Rimachi escobar Abel Antonio"/>
    <n v="48469689"/>
    <x v="0"/>
    <x v="0"/>
    <n v="70"/>
    <s v="106052321001972979"/>
    <s v="80600532100197297959"/>
    <s v="CMAC CUSCO"/>
  </r>
  <r>
    <x v="17"/>
    <s v="Cusco "/>
    <x v="0"/>
    <x v="4"/>
    <s v="santa ana"/>
    <x v="1"/>
    <s v="Quiroz Zevallos Andrea Keyko"/>
    <n v="29"/>
    <s v="F"/>
    <n v="30000"/>
    <n v="71314803"/>
    <d v="2024-01-22T00:00:00"/>
    <d v="2027-01-06T00:00:00"/>
    <s v="Capital de Trabajo "/>
    <s v="Café, Cacao y Frutales "/>
    <m/>
    <s v="microempresa"/>
    <x v="15"/>
    <s v="LAT:-12.973159,LON:-72.669972"/>
    <n v="3"/>
    <n v="2"/>
    <s v="SI"/>
    <s v="SI"/>
    <s v="SI"/>
    <n v="12"/>
    <s v="SI"/>
    <s v="SI"/>
    <s v="Rimachi escobar Abel Antonio"/>
    <n v="48469689"/>
    <x v="0"/>
    <x v="0"/>
    <n v="70"/>
    <s v="106052321001972979"/>
    <s v="80600532100197297959"/>
    <s v="CMAC CUSCO"/>
  </r>
  <r>
    <x v="18"/>
    <s v="Cusco "/>
    <x v="0"/>
    <x v="6"/>
    <s v="Sector huayllayoc"/>
    <x v="1"/>
    <s v="Mellado Olabarrera Lino Arnaldo"/>
    <n v="63"/>
    <s v="M"/>
    <n v="50000"/>
    <n v="24940437"/>
    <d v="2023-01-19T00:00:00"/>
    <d v="2028-12-24T00:00:00"/>
    <s v="Activo Fijo"/>
    <s v="Café, Cacao y Frutales "/>
    <m/>
    <s v="Pequeña empresa"/>
    <x v="16"/>
    <s v="LAT:-12.725408,LON:-72.557893"/>
    <n v="18"/>
    <n v="12"/>
    <s v="SI"/>
    <s v="SI"/>
    <s v="SI"/>
    <n v="5"/>
    <s v="SI"/>
    <s v="SI"/>
    <s v="Rimachi escobar Abel Antonio"/>
    <n v="48469689"/>
    <x v="0"/>
    <x v="0"/>
    <n v="70"/>
    <s v="106052321001972979"/>
    <s v="80600532100197297959"/>
    <s v="CMAC CUSCO"/>
  </r>
  <r>
    <x v="19"/>
    <s v="Cusco "/>
    <x v="0"/>
    <x v="0"/>
    <s v="Sector Alto Canelon"/>
    <x v="1"/>
    <s v="Gutierrez Escobar Raul"/>
    <n v="44"/>
    <s v="M"/>
    <n v="30000"/>
    <n v="41378591"/>
    <d v="2024-01-16T00:00:00"/>
    <d v="2025-01-10T00:00:00"/>
    <s v="Capital de Trabajo "/>
    <s v="Café, Cacao y Frutales "/>
    <m/>
    <s v="microempresa"/>
    <x v="17"/>
    <s v="LAT.-12.649832,LON:-72.49118"/>
    <n v="7"/>
    <n v="4"/>
    <s v="SI"/>
    <s v="SI"/>
    <s v="SI"/>
    <n v="8"/>
    <s v="SI"/>
    <s v="SI"/>
    <s v="Rimachi escobar Abel Antonio"/>
    <n v="48469689"/>
    <x v="0"/>
    <x v="0"/>
    <n v="70"/>
    <s v="106052321001972979"/>
    <s v="80600532100197297959"/>
    <s v="CMAC CUSCO"/>
  </r>
  <r>
    <x v="20"/>
    <s v="Cusco "/>
    <x v="0"/>
    <x v="7"/>
    <s v="Sector de Pampa Concepcion"/>
    <x v="1"/>
    <s v="Vargas Rojas Vilma"/>
    <n v="47"/>
    <s v="F"/>
    <n v="30000"/>
    <n v="25010315"/>
    <d v="2024-03-27T00:00:00"/>
    <d v="2024-06-27T00:00:00"/>
    <s v="Capital de Trabajo "/>
    <s v="Café, Cacao y Frutales "/>
    <m/>
    <s v="microempresa"/>
    <x v="0"/>
    <s v="LAT:-12.725085,LON:-72.553549"/>
    <n v="3"/>
    <n v="3"/>
    <s v="SI"/>
    <s v="SI"/>
    <s v="SI"/>
    <n v="7"/>
    <s v="SI"/>
    <s v="SI"/>
    <s v="Rimachi escobar Abel Antonio"/>
    <n v="48469689"/>
    <x v="0"/>
    <x v="0"/>
    <n v="70"/>
    <s v="106052321001972979"/>
    <s v="80600532100197297959"/>
    <s v="CMAC CUSCO"/>
  </r>
  <r>
    <x v="21"/>
    <s v="Cusco "/>
    <x v="0"/>
    <x v="8"/>
    <s v="Sector de Choquelluska-Huayrurani"/>
    <x v="1"/>
    <s v="Vera Valdivia Jaime"/>
    <n v="29"/>
    <s v="M"/>
    <n v="20000"/>
    <n v="72448141"/>
    <d v="2024-03-25T00:00:00"/>
    <d v="2025-03-25T00:00:00"/>
    <s v="Capital de Trabajo "/>
    <s v="Café, Cacao y Frutales "/>
    <m/>
    <s v="microempresa"/>
    <x v="18"/>
    <s v="LAT:-13.0441,LON:-72.7882"/>
    <n v="7"/>
    <n v="5"/>
    <s v="SI"/>
    <s v="SI"/>
    <s v="SI"/>
    <n v="5"/>
    <s v="SI"/>
    <s v="SI"/>
    <s v="Rimachi escobar Abel Antonio"/>
    <n v="48469689"/>
    <x v="0"/>
    <x v="0"/>
    <n v="70"/>
    <s v="106052321001972979"/>
    <s v="80600532100197297959"/>
    <s v="CMAC CUSCO"/>
  </r>
  <r>
    <x v="22"/>
    <s v="Cusco "/>
    <x v="0"/>
    <x v="4"/>
    <s v="Sector Huanay Alto"/>
    <x v="1"/>
    <s v="Tania Gutierrez Martinez "/>
    <n v="32"/>
    <s v="F"/>
    <n v="30000"/>
    <n v="47687141"/>
    <d v="2024-04-12T00:00:00"/>
    <d v="2027-03-28T00:00:00"/>
    <s v="Capital de Trabajo "/>
    <s v="Café, Cacao y Frutales "/>
    <m/>
    <s v="microempresa"/>
    <x v="18"/>
    <s v="LAT:-12.7901,LON:-72.6679"/>
    <n v="3"/>
    <n v="2"/>
    <s v="SI"/>
    <s v="SI"/>
    <s v="SI"/>
    <n v="5"/>
    <s v="SI"/>
    <s v="SI"/>
    <s v="Rimachi escobar Abel Antonio"/>
    <n v="48469689"/>
    <x v="0"/>
    <x v="0"/>
    <n v="70"/>
    <s v="106052321001972979"/>
    <s v="80600532100197297959"/>
    <s v="CMAC CUSCO"/>
  </r>
  <r>
    <x v="23"/>
    <s v="Cusco "/>
    <x v="0"/>
    <x v="0"/>
    <s v="Sector de Chapo Kuviriari"/>
    <x v="1"/>
    <s v="Cuba Abarca Andres"/>
    <n v="55"/>
    <s v="M"/>
    <n v="2500"/>
    <n v="23939809"/>
    <d v="2024-04-02T00:00:00"/>
    <d v="2025-04-02T00:00:00"/>
    <s v="Capital de Trabajo "/>
    <s v="Café, Cacao y Frutales "/>
    <m/>
    <s v="microempresa"/>
    <x v="9"/>
    <s v="LAT:-12.4943,LON:-72.7060"/>
    <n v="3"/>
    <n v="2"/>
    <s v="SI"/>
    <s v="SI"/>
    <s v="SI"/>
    <n v="4"/>
    <s v="SI"/>
    <s v="SI"/>
    <s v="Rimachi escobar Abel Antonio"/>
    <n v="48469689"/>
    <x v="1"/>
    <x v="1"/>
    <n v="120"/>
    <s v="106052321001972979"/>
    <s v="80600532100197297959"/>
    <s v="CMAC CUSCO"/>
  </r>
  <r>
    <x v="24"/>
    <s v="Cusco "/>
    <x v="0"/>
    <x v="4"/>
    <s v="Sector de Illapani"/>
    <x v="1"/>
    <s v="Ugarte Escalante Elias"/>
    <n v="60"/>
    <s v="M"/>
    <n v="63000"/>
    <n v="24953763"/>
    <d v="2024-04-04T00:00:00"/>
    <d v="2025-03-25T00:00:00"/>
    <s v="Capital de Trabajo "/>
    <s v="Café, Cacao y Frutales "/>
    <m/>
    <s v="microempresa"/>
    <x v="19"/>
    <s v="LAT:-12.6569,LON:-72.6310"/>
    <n v="28"/>
    <n v="20"/>
    <s v="SI"/>
    <s v="SI"/>
    <s v="SI"/>
    <n v="5"/>
    <s v="SI"/>
    <s v="SI"/>
    <s v="Rimachi escobar Abel Antonio"/>
    <n v="48469689"/>
    <x v="0"/>
    <x v="0"/>
    <n v="70"/>
    <s v="106052321001972979"/>
    <s v="80600532100197297959"/>
    <s v="CMAC CUSCO"/>
  </r>
  <r>
    <x v="25"/>
    <s v="Cusco "/>
    <x v="0"/>
    <x v="1"/>
    <s v="Sector Canelon Alto"/>
    <x v="1"/>
    <s v="Guitierrez escobar raul"/>
    <n v="44"/>
    <s v="M"/>
    <n v="30000"/>
    <n v="41378591"/>
    <d v="2024-01-16T00:00:00"/>
    <d v="2025-01-10T00:00:00"/>
    <s v="Capital de Trabajo "/>
    <s v="Café, Cacao y Frutales "/>
    <m/>
    <s v="microempresa"/>
    <x v="17"/>
    <s v="LAT:-12.649832,LON:-72.49118"/>
    <n v="7"/>
    <n v="4"/>
    <s v="SI"/>
    <s v="SI"/>
    <s v="SI"/>
    <n v="5"/>
    <s v="SI"/>
    <s v="SI"/>
    <s v="Rimachi escobar Abel Antonio"/>
    <n v="48469689"/>
    <x v="0"/>
    <x v="0"/>
    <n v="70"/>
    <s v="106052321001972979"/>
    <s v="80600532100197297959"/>
    <s v="CMAC CUSCO"/>
  </r>
  <r>
    <x v="26"/>
    <s v="Cusco "/>
    <x v="0"/>
    <x v="0"/>
    <s v="Sector Putucusi"/>
    <x v="1"/>
    <s v="Prudencio Pinedo Dante Daniel"/>
    <n v="44"/>
    <s v="M"/>
    <n v="30000"/>
    <n v="42268874"/>
    <d v="2024-04-12T00:00:00"/>
    <d v="2024-04-07T00:00:00"/>
    <s v="Capital de Trabajo "/>
    <s v="Café, Cacao y Frutales "/>
    <m/>
    <s v="microempresa"/>
    <x v="20"/>
    <s v="LAT:-12.6385, LON:-72.6226"/>
    <n v="3"/>
    <n v="1.5"/>
    <s v="SI"/>
    <s v="SI"/>
    <s v="SI"/>
    <n v="10"/>
    <s v="SI"/>
    <s v="SI"/>
    <s v="Rimachi escobar Abel Antonio"/>
    <n v="48469689"/>
    <x v="0"/>
    <x v="0"/>
    <n v="70"/>
    <s v="106052321001972979"/>
    <s v="80600532100197297959"/>
    <s v="CMAC CUSCO"/>
  </r>
  <r>
    <x v="27"/>
    <s v="Cusco "/>
    <x v="0"/>
    <x v="0"/>
    <s v="Sector de mercedesniyoc"/>
    <x v="1"/>
    <s v="Mejia Daza Aida Luz"/>
    <n v="23"/>
    <s v="F"/>
    <n v="2000"/>
    <n v="73423584"/>
    <d v="2024-04-15T00:00:00"/>
    <d v="2024-04-10T00:00:00"/>
    <s v="Capital de Trabajo "/>
    <s v="Café, Cacao y Frutales "/>
    <m/>
    <s v="microempresa"/>
    <x v="9"/>
    <s v="LAT:-12.6546.LON:-72.6102"/>
    <n v="2"/>
    <n v="2"/>
    <s v="SI"/>
    <s v="SI"/>
    <s v="SI"/>
    <n v="6"/>
    <s v="SI"/>
    <s v="SI"/>
    <s v="Rimachi escobar Abel Antonio"/>
    <n v="48469689"/>
    <x v="0"/>
    <x v="1"/>
    <n v="120"/>
    <s v="106052321001972979"/>
    <s v="80600532100197297959"/>
    <s v="CMAC CUSCO"/>
  </r>
  <r>
    <x v="28"/>
    <s v="Cusco "/>
    <x v="0"/>
    <x v="2"/>
    <s v="Sector Paraiso Huayanay "/>
    <x v="1"/>
    <s v="Rodriguez huarancca corina"/>
    <n v="51"/>
    <s v="F"/>
    <n v="1000"/>
    <n v="25012348"/>
    <d v="2024-03-04T00:00:00"/>
    <d v="2025-03-04T00:00:00"/>
    <s v="Capital de Trabajo "/>
    <s v="Café, Cacao y Frutales "/>
    <m/>
    <s v="microempresa"/>
    <x v="9"/>
    <s v="LAT:-12.827180, LON: -72.664398"/>
    <n v="3"/>
    <n v="3"/>
    <s v="SI"/>
    <s v="SI"/>
    <s v="SI"/>
    <n v="10"/>
    <s v="SI"/>
    <s v="SI"/>
    <s v="Huaman Ccarhuaslla Wilmer"/>
    <n v="76125758"/>
    <x v="1"/>
    <x v="1"/>
    <n v="120"/>
    <s v="106052321002082367"/>
    <s v="80600532100208236752"/>
    <s v="CMAC CUSCO"/>
  </r>
  <r>
    <x v="29"/>
    <s v="Cusco "/>
    <x v="0"/>
    <x v="9"/>
    <s v="Sector huayopata"/>
    <x v="1"/>
    <s v="Jimenez peña Santusa"/>
    <n v="54"/>
    <s v="F"/>
    <n v="5000"/>
    <n v="24983605"/>
    <d v="2024-03-07T00:00:00"/>
    <d v="2025-03-07T00:00:00"/>
    <s v="Capital de Trabajo "/>
    <s v="Café, Cacao y Frutales "/>
    <s v="engorde de gando y té"/>
    <s v="microempresa"/>
    <x v="21"/>
    <s v="LAT:-13.006691, LON:-72.5788981"/>
    <n v="5"/>
    <n v="4"/>
    <s v="SI"/>
    <s v="SI"/>
    <s v="SI"/>
    <n v="12"/>
    <s v="SI"/>
    <s v="SI"/>
    <s v="Huaman Ccarhuaslla Wilmer"/>
    <n v="76125758"/>
    <x v="0"/>
    <x v="0"/>
    <n v="70"/>
    <s v="106052321002082367"/>
    <s v="80600532100208236752"/>
    <s v="CMAC CUSCO"/>
  </r>
  <r>
    <x v="30"/>
    <s v="Cusco "/>
    <x v="0"/>
    <x v="10"/>
    <s v="Sector Marampata"/>
    <x v="1"/>
    <s v="Arrozquipa Huanca Antonio"/>
    <n v="64"/>
    <s v="M"/>
    <n v="1500"/>
    <n v="24962579"/>
    <d v="2024-03-07T00:00:00"/>
    <d v="2025-03-07T00:00:00"/>
    <s v="Capital de Trabajo "/>
    <s v="Café,Palto y Frutales "/>
    <m/>
    <s v="microempresa"/>
    <x v="9"/>
    <s v="LAT:-13.0003476, LON:- 72.5773756"/>
    <n v="4"/>
    <n v="4"/>
    <s v="SI"/>
    <s v="SI"/>
    <s v="SI"/>
    <n v="8"/>
    <s v="SI"/>
    <s v="SI"/>
    <s v="Huaman Ccarhuaslla Wilmer"/>
    <n v="76125758"/>
    <x v="0"/>
    <x v="0"/>
    <n v="70"/>
    <s v="106052321002082367"/>
    <s v="80600532100208236752"/>
    <s v="CMAC CUSCO"/>
  </r>
  <r>
    <x v="31"/>
    <s v="Cusco "/>
    <x v="0"/>
    <x v="0"/>
    <s v="Sector Lampachaca"/>
    <x v="1"/>
    <s v="Bellido Hancco Valeriano"/>
    <n v="50"/>
    <s v="M"/>
    <n v="30000"/>
    <n v="24997836"/>
    <d v="2024-03-08T00:00:00"/>
    <d v="2028-03-08T00:00:00"/>
    <s v="Activo Fijo"/>
    <s v="Café,Palto y Frutales "/>
    <m/>
    <s v="microempresa"/>
    <x v="10"/>
    <s v="LAT:-12.5644639,LON:-72.50219837"/>
    <n v="15"/>
    <n v="7"/>
    <s v="SI"/>
    <s v="SI"/>
    <s v="SI"/>
    <n v="13"/>
    <s v="SI"/>
    <s v="SI"/>
    <s v="Huaman Ccarhuaslla Wilmer"/>
    <n v="76125758"/>
    <x v="0"/>
    <x v="0"/>
    <n v="70"/>
    <s v="106052321002082367"/>
    <s v="80600532100208236752"/>
    <s v="CMAC CUSCO"/>
  </r>
  <r>
    <x v="32"/>
    <s v="Cusco "/>
    <x v="0"/>
    <x v="0"/>
    <s v="Sector Suyocuyoc ccochayoc"/>
    <x v="1"/>
    <s v="Nayda yapo Amao"/>
    <n v="29"/>
    <s v="F"/>
    <n v="4000"/>
    <n v="63121545"/>
    <d v="2024-03-08T00:00:00"/>
    <d v="2025-03-15T00:00:00"/>
    <s v="Capital de Trabajo "/>
    <s v="Café,Palto y Frutales "/>
    <m/>
    <s v="microempresa"/>
    <x v="22"/>
    <s v="LAT:-12.6135899,LON:-72.61760354"/>
    <n v="5"/>
    <n v="4"/>
    <s v="SI"/>
    <s v="SI"/>
    <s v="SI"/>
    <n v="6"/>
    <s v="SI"/>
    <s v="SI"/>
    <s v="Huaman Ccarhuaslla Wilmer"/>
    <n v="76125758"/>
    <x v="1"/>
    <x v="1"/>
    <n v="120"/>
    <s v="106052321002082367"/>
    <s v="80600532100208236752"/>
    <s v="CMAC CUSCO"/>
  </r>
  <r>
    <x v="33"/>
    <s v="Cusco "/>
    <x v="0"/>
    <x v="0"/>
    <s v="Sector bombohuactana"/>
    <x v="1"/>
    <s v="Quintana Toribio Felipe"/>
    <n v="59"/>
    <s v="M"/>
    <n v="7000"/>
    <n v="24988697"/>
    <d v="2024-03-15T00:00:00"/>
    <d v="2025-03-10T00:00:00"/>
    <s v="Capital de Trabajo "/>
    <s v="Café,Palto y Frutales "/>
    <m/>
    <s v="microempresa"/>
    <x v="23"/>
    <s v="LAT:-12.6645257,LON:-72.47781678"/>
    <n v="5.5"/>
    <n v="5"/>
    <s v="SI"/>
    <s v="SI"/>
    <s v="SI"/>
    <n v="15"/>
    <s v="SI"/>
    <s v="SI"/>
    <s v="Huaman Ccarhuaslla Wilmer"/>
    <n v="76125758"/>
    <x v="0"/>
    <x v="0"/>
    <n v="70"/>
    <s v="106052321002082367"/>
    <s v="80600532100208236752"/>
    <s v="CMAC CUSCO"/>
  </r>
  <r>
    <x v="34"/>
    <s v="Cusco "/>
    <x v="0"/>
    <x v="4"/>
    <s v="Huayanay Paraiso"/>
    <x v="1"/>
    <s v="Maribel Delgado Concha"/>
    <n v="45"/>
    <s v="F"/>
    <n v="2500"/>
    <n v="40350437"/>
    <d v="2024-03-11T00:00:00"/>
    <d v="2025-03-11T00:00:00"/>
    <s v="Capital de Trabajo "/>
    <s v="Café,Palto y Frutales "/>
    <m/>
    <s v="microempresa"/>
    <x v="9"/>
    <s v="LAT:-12.73097956,LON:-72.5349370"/>
    <n v="3"/>
    <n v="3"/>
    <s v="SI"/>
    <s v="SI"/>
    <s v="SI"/>
    <n v="11"/>
    <s v="SI"/>
    <s v="SI"/>
    <s v="Huaman Ccarhuaslla Wilmer"/>
    <n v="76125758"/>
    <x v="1"/>
    <x v="1"/>
    <n v="120"/>
    <s v="106052321002082367"/>
    <s v="80600532100208236752"/>
    <s v="CMAC CUSCO"/>
  </r>
  <r>
    <x v="35"/>
    <s v="Cusco "/>
    <x v="0"/>
    <x v="0"/>
    <s v="Sector Miraflores"/>
    <x v="1"/>
    <s v="Almanza Tocre Yenifer"/>
    <n v="29"/>
    <s v="F"/>
    <n v="3000"/>
    <n v="71196664"/>
    <d v="2024-03-14T00:00:00"/>
    <d v="2025-03-14T00:00:00"/>
    <s v="Capital de Trabajo "/>
    <s v="Árboles Frutales "/>
    <m/>
    <s v="microempresa"/>
    <x v="22"/>
    <s v="LAT:-126646467,LON:-72.47793999"/>
    <n v="5"/>
    <n v="2"/>
    <s v="SI"/>
    <s v="SI"/>
    <s v="SI"/>
    <n v="17"/>
    <s v="SI"/>
    <s v="SI"/>
    <s v="Huaman Ccarhuaslla Wilmer"/>
    <n v="76125758"/>
    <x v="1"/>
    <x v="1"/>
    <n v="120"/>
    <s v="106052321002082367"/>
    <s v="80600532100208236752"/>
    <s v="CMAC CUSCO"/>
  </r>
  <r>
    <x v="36"/>
    <s v="Cusco "/>
    <x v="0"/>
    <x v="0"/>
    <s v="Sector lorohuachana"/>
    <x v="1"/>
    <s v="Aranibar Huaman Mario"/>
    <n v="61"/>
    <s v="M"/>
    <n v="2000"/>
    <n v="24997995"/>
    <d v="2024-02-19T00:00:00"/>
    <d v="2024-08-25T00:00:00"/>
    <s v="Capital de Trabajo "/>
    <s v="Café, Cacao y Frutales "/>
    <m/>
    <s v="microempresa"/>
    <x v="24"/>
    <s v="LAT:-12.58822452,LON:-72.82317254"/>
    <n v="3"/>
    <n v="3"/>
    <s v="SI"/>
    <s v="SI"/>
    <s v="SI"/>
    <n v="13"/>
    <s v="SI"/>
    <s v="SI"/>
    <s v="Huaman Ccarhuaslla Wilmer"/>
    <n v="76125758"/>
    <x v="1"/>
    <x v="1"/>
    <n v="120"/>
    <s v="106052321002082367"/>
    <s v="80600532100208236752"/>
    <s v="CMAC CUSCO"/>
  </r>
  <r>
    <x v="37"/>
    <s v="Cusco "/>
    <x v="0"/>
    <x v="0"/>
    <s v="Sector Miraflores"/>
    <x v="1"/>
    <s v="Challco Quispe Icela"/>
    <n v="34"/>
    <s v="F"/>
    <n v="5000"/>
    <n v="46371126"/>
    <d v="2024-02-16T00:00:00"/>
    <d v="2025-02-17T00:00:00"/>
    <s v="Capital de Trabajo "/>
    <s v="Café, Cacao y Frutales "/>
    <m/>
    <s v="microempresa"/>
    <x v="23"/>
    <s v="LAT:-12.56458219,LON:-72.50550201"/>
    <n v="6"/>
    <n v="4"/>
    <s v="SI"/>
    <s v="SI"/>
    <s v="SI"/>
    <n v="6"/>
    <s v="SI"/>
    <s v="SI"/>
    <s v="Huaman Ccarhuaslla Wilmer"/>
    <n v="76125758"/>
    <x v="0"/>
    <x v="0"/>
    <n v="70"/>
    <s v="106052321002082367"/>
    <s v="80600532100208236752"/>
    <s v="CMAC CUSCO"/>
  </r>
  <r>
    <x v="38"/>
    <s v="Cusco "/>
    <x v="0"/>
    <x v="1"/>
    <s v="Pampa Concepcion"/>
    <x v="1"/>
    <s v="Mamani Suyo Wilson"/>
    <n v="25"/>
    <s v="M"/>
    <n v="5000"/>
    <n v="76983784"/>
    <d v="2024-04-09T00:00:00"/>
    <d v="2025-04-09T00:00:00"/>
    <s v="Capital de Trabajo "/>
    <s v="Café, Cacao y Frutales "/>
    <m/>
    <s v="microempresa"/>
    <x v="23"/>
    <s v="LAT:-12.66508472,LON:-72.64305797"/>
    <n v="7"/>
    <n v="5"/>
    <s v="SI"/>
    <s v="SI"/>
    <s v="SI"/>
    <n v="8"/>
    <s v="SI"/>
    <s v="SI"/>
    <s v="Huaman Ccarhuaslla Wilmer"/>
    <n v="76125758"/>
    <x v="0"/>
    <x v="0"/>
    <n v="70"/>
    <s v="106052321002082367"/>
    <s v="80600532100208236752"/>
    <s v="CMAC CUSCO"/>
  </r>
  <r>
    <x v="39"/>
    <s v="Cusco "/>
    <x v="0"/>
    <x v="0"/>
    <s v="Sector chapu Boyero"/>
    <x v="1"/>
    <s v="miranda mendoza samuel"/>
    <n v="62"/>
    <s v="M"/>
    <n v="3000"/>
    <n v="24972730"/>
    <d v="2024-03-26T00:00:00"/>
    <d v="2025-03-21T00:00:00"/>
    <s v="Capital de Trabajo "/>
    <s v="Café, Cacao y Frutales "/>
    <m/>
    <s v="microempresa"/>
    <x v="22"/>
    <s v="LAT:-12.54593943,LON:-72.66581871"/>
    <n v="10"/>
    <n v="3"/>
    <s v="SI"/>
    <s v="SI"/>
    <s v="SI"/>
    <n v="15"/>
    <s v="SI"/>
    <s v="SI"/>
    <s v="Huaman Ccarhuaslla Wilmer"/>
    <n v="76125758"/>
    <x v="1"/>
    <x v="1"/>
    <n v="120"/>
    <s v="106052321002082367"/>
    <s v="80600532100208236752"/>
    <s v="CMAC CUSCO"/>
  </r>
  <r>
    <x v="40"/>
    <s v="Cusco "/>
    <x v="0"/>
    <x v="0"/>
    <s v="Miraflores las Americas"/>
    <x v="1"/>
    <s v="Bellido Hancco Alfredo"/>
    <n v="43"/>
    <s v="M"/>
    <n v="4000"/>
    <n v="43116798"/>
    <d v="2024-04-29T00:00:00"/>
    <d v="2024-11-10T00:00:00"/>
    <s v="Capital de Trabajo "/>
    <s v="Café, Cacao y Frutales "/>
    <m/>
    <s v="microempresa"/>
    <x v="22"/>
    <s v="LAT:-12.6648178,LON:-72.64438066"/>
    <n v="10"/>
    <n v="4"/>
    <s v="SI"/>
    <s v="SI"/>
    <s v="SI"/>
    <n v="10"/>
    <s v="SI"/>
    <s v="SI"/>
    <s v="Huaman Ccarhuaslla Wilmer"/>
    <n v="76125758"/>
    <x v="0"/>
    <x v="2"/>
    <n v="70"/>
    <s v="106052321002082367"/>
    <s v="80600532100208236752"/>
    <s v="CMAC CUSCO"/>
  </r>
  <r>
    <x v="41"/>
    <s v="Cusco "/>
    <x v="0"/>
    <x v="0"/>
    <s v="Sect. Mesa Rumiyoc"/>
    <x v="1"/>
    <s v="gutierrez quispe dominga"/>
    <n v="65"/>
    <s v="F"/>
    <n v="3000"/>
    <n v="24972730"/>
    <d v="2024-03-26T00:00:00"/>
    <d v="2025-03-21T00:00:00"/>
    <s v="Capital de Trabajo "/>
    <s v="Café, Cacao y Frutales "/>
    <m/>
    <s v="microempresa"/>
    <x v="22"/>
    <s v="LAT:-12.54557369,LON-72.6653550"/>
    <n v="8"/>
    <n v="5"/>
    <s v="SI"/>
    <s v="SI"/>
    <s v="SI"/>
    <n v="5"/>
    <s v="SI"/>
    <s v="SI"/>
    <s v="Huaman Ccarhuaslla Wilmer"/>
    <n v="76125758"/>
    <x v="1"/>
    <x v="1"/>
    <n v="120"/>
    <s v="106052321002082367"/>
    <s v="80600532100208236752"/>
    <s v="CMAC CUSCO"/>
  </r>
  <r>
    <x v="42"/>
    <s v="Cusco "/>
    <x v="0"/>
    <x v="0"/>
    <s v="Sector Campanayoc"/>
    <x v="1"/>
    <s v="follano monterroso doris"/>
    <n v="49"/>
    <s v="F"/>
    <n v="1500"/>
    <n v="10387241"/>
    <d v="2024-04-09T00:00:00"/>
    <d v="2025-04-09T00:00:00"/>
    <s v="Capital de Trabajo "/>
    <s v="Café, Cacao y Frutales "/>
    <m/>
    <s v="microempresa"/>
    <x v="9"/>
    <s v="LAT:-12.66495471,LON-72.64305183"/>
    <n v="5"/>
    <n v="3"/>
    <s v="SI"/>
    <s v="SI"/>
    <s v="SI"/>
    <n v="10"/>
    <s v="SI"/>
    <s v="SI"/>
    <s v="Huaman Ccarhuaslla Wilmer"/>
    <n v="76125758"/>
    <x v="1"/>
    <x v="1"/>
    <n v="120"/>
    <s v="106052321002082367"/>
    <s v="80600532100208236752"/>
    <s v="CMAC CUSCO"/>
  </r>
  <r>
    <x v="43"/>
    <s v="Cusco "/>
    <x v="0"/>
    <x v="4"/>
    <s v="Sector Paraiso Huayanay "/>
    <x v="1"/>
    <s v="llerena rimayhuaman gilmar jhon"/>
    <n v="33"/>
    <s v="M"/>
    <n v="1000"/>
    <n v="47015418"/>
    <d v="2024-04-15T00:00:00"/>
    <d v="2024-05-01T00:00:00"/>
    <s v="Capital de Trabajo "/>
    <s v="Café, Cacao y Frutales "/>
    <m/>
    <s v="microempresa"/>
    <x v="23"/>
    <s v="LAT:-12.54593952,LON-72.6658160"/>
    <n v="5"/>
    <n v="4"/>
    <s v="SI"/>
    <s v="SI"/>
    <s v="SI"/>
    <n v="15"/>
    <s v="SI"/>
    <s v="SI"/>
    <s v="Huaman Ccarhuaslla Wilmer"/>
    <n v="76125758"/>
    <x v="0"/>
    <x v="2"/>
    <n v="70"/>
    <s v="106052321002082367"/>
    <s v="80600532100208236752"/>
    <s v="CMAC CUSCO"/>
  </r>
  <r>
    <x v="44"/>
    <s v="Cusco "/>
    <x v="0"/>
    <x v="0"/>
    <s v="Hatumpampa"/>
    <x v="1"/>
    <s v="challco ramos santos"/>
    <n v="63"/>
    <s v="M"/>
    <n v="1000"/>
    <n v="24985530"/>
    <d v="2024-02-12T00:00:00"/>
    <d v="2025-02-16T00:00:00"/>
    <s v="Capital de Trabajo "/>
    <s v="Café, Cacao y Frutales "/>
    <m/>
    <s v="microempresa"/>
    <x v="9"/>
    <s v="LAT:-12.62259711,LON-72.54996558"/>
    <n v="6"/>
    <n v="2"/>
    <s v="SI"/>
    <s v="SI"/>
    <s v="SI"/>
    <n v="10"/>
    <s v="SI"/>
    <s v="SI"/>
    <s v="Huaman Ccarhuaslla Wilmer"/>
    <n v="76125758"/>
    <x v="1"/>
    <x v="1"/>
    <n v="120"/>
    <s v="106052321002082367"/>
    <s v="80600532100208236752"/>
    <s v="CMAC CUSCO"/>
  </r>
  <r>
    <x v="45"/>
    <s v="Cusco "/>
    <x v="0"/>
    <x v="0"/>
    <s v="Sector Lampachaca"/>
    <x v="1"/>
    <s v="bellido ancco wilfredo"/>
    <n v="31"/>
    <s v="M"/>
    <n v="15000"/>
    <n v="48503551"/>
    <d v="2024-04-12T00:00:00"/>
    <d v="2025-10-13T00:00:00"/>
    <s v="Capital de Trabajo "/>
    <s v="Café, Cacao y Frutales "/>
    <m/>
    <s v="microempresa"/>
    <x v="10"/>
    <s v="LAT:-12.62253342,LON:-72.5501341"/>
    <n v="10"/>
    <n v="6"/>
    <s v="SI"/>
    <s v="SI"/>
    <s v="SI"/>
    <n v="5"/>
    <s v="SI"/>
    <s v="SI"/>
    <s v="Huaman Ccarhuaslla Wilmer"/>
    <n v="76125758"/>
    <x v="0"/>
    <x v="2"/>
    <n v="70"/>
    <s v="106052321002082367"/>
    <s v="80600532100208236752"/>
    <s v="CMAC CUSCO"/>
  </r>
  <r>
    <x v="46"/>
    <s v="Cusco "/>
    <x v="0"/>
    <x v="9"/>
    <s v="Sector San pablo"/>
    <x v="1"/>
    <s v="Berrio Ccasani Santusa"/>
    <n v="59"/>
    <s v="F"/>
    <n v="10000"/>
    <n v="25005850"/>
    <d v="2024-02-10T00:00:00"/>
    <d v="2025-02-10T00:00:00"/>
    <s v="Capital de Trabajo "/>
    <s v="Café, Cacao y Frutales "/>
    <m/>
    <s v="microempresa"/>
    <x v="25"/>
    <s v="LAT:-13.0088,LON:-72.621"/>
    <n v="8.5"/>
    <n v="6"/>
    <s v="SI"/>
    <s v="SI"/>
    <s v="SI"/>
    <n v="4"/>
    <s v="SI"/>
    <s v="SI"/>
    <s v="Jennifer Celeste Montesinos Cruz"/>
    <n v="72687201"/>
    <x v="0"/>
    <x v="0"/>
    <n v="70"/>
    <s v="106052321002070016"/>
    <s v="80600532100207001659"/>
    <s v="CMAC CUSCO"/>
  </r>
  <r>
    <x v="47"/>
    <s v="Cusco "/>
    <x v="0"/>
    <x v="1"/>
    <s v="Sector Chaupinayoc"/>
    <x v="1"/>
    <s v="velasquez cucchi Bianca"/>
    <n v="39"/>
    <s v="F"/>
    <n v="2000"/>
    <n v="43155501"/>
    <d v="2024-03-30T00:00:00"/>
    <d v="2025-04-02T00:00:00"/>
    <s v="Capital de Trabajo "/>
    <s v="Café, Cacao y Frutales "/>
    <m/>
    <s v="microempresa"/>
    <x v="9"/>
    <s v="LAT:-12.71065, LON:-72.4877"/>
    <n v="1.5"/>
    <n v="1.5"/>
    <s v="SI"/>
    <s v="SI"/>
    <s v="SI"/>
    <n v="5"/>
    <s v="SI"/>
    <s v="SI"/>
    <s v="Jennifer Celeste Montesinos Cruz"/>
    <n v="72687201"/>
    <x v="0"/>
    <x v="0"/>
    <n v="70"/>
    <s v="106052321002070016"/>
    <s v="80600532100207001659"/>
    <s v="CMAC CUSCO"/>
  </r>
  <r>
    <x v="48"/>
    <s v="Cusco "/>
    <x v="0"/>
    <x v="1"/>
    <s v="Palmayoc Sector soccoschayoc"/>
    <x v="1"/>
    <s v="Ancco Palomino Celsa"/>
    <n v="58"/>
    <s v="F"/>
    <n v="3000"/>
    <n v="24956468"/>
    <d v="2024-03-25T00:00:00"/>
    <d v="2025-03-20T00:00:00"/>
    <s v="Capital de Trabajo "/>
    <s v="Café, Cacao y Frutales "/>
    <m/>
    <s v="microempresa"/>
    <x v="22"/>
    <s v="LAT:-12.59135, LON:-72.6624"/>
    <n v="2"/>
    <n v="2"/>
    <s v="SI"/>
    <s v="SI"/>
    <s v="SI"/>
    <n v="20"/>
    <s v="SI"/>
    <s v="SI"/>
    <s v="Jennifer Celeste Montesinos Cruz"/>
    <n v="72687201"/>
    <x v="1"/>
    <x v="1"/>
    <n v="120"/>
    <s v="106052321002070016"/>
    <s v="80600532100207001659"/>
    <s v="CMAC CUSCO"/>
  </r>
  <r>
    <x v="49"/>
    <s v="Cusco "/>
    <x v="0"/>
    <x v="1"/>
    <s v="anexo Chayña Puerto"/>
    <x v="1"/>
    <s v="Gamboa Enriquez Bernardino"/>
    <n v="62"/>
    <s v="M"/>
    <n v="2000"/>
    <n v="24950610"/>
    <d v="2024-04-05T00:00:00"/>
    <d v="2025-03-31T00:00:00"/>
    <s v="Capital de Trabajo "/>
    <s v="Café, Cacao y Frutales "/>
    <m/>
    <s v="microempresa"/>
    <x v="9"/>
    <s v="LAT:-12.68395,LON:-72.544"/>
    <n v="2"/>
    <n v="2"/>
    <s v="SI"/>
    <s v="SI"/>
    <s v="SI"/>
    <n v="10"/>
    <s v="SI"/>
    <s v="SI"/>
    <s v="Jennifer Celeste Montesinos Cruz"/>
    <n v="72687201"/>
    <x v="1"/>
    <x v="1"/>
    <n v="120"/>
    <s v="106052321002070016"/>
    <s v="80600532100207001659"/>
    <s v="CMAC CUSCO"/>
  </r>
  <r>
    <x v="50"/>
    <s v="Cusco "/>
    <x v="0"/>
    <x v="0"/>
    <s v="sector sata rosa"/>
    <x v="1"/>
    <s v="Vega Canlla Yari"/>
    <n v="37"/>
    <s v="F"/>
    <n v="3000"/>
    <n v="44595061"/>
    <d v="2024-04-12T00:00:00"/>
    <d v="2025-04-08T00:00:00"/>
    <s v="Capital de Trabajo "/>
    <s v="Café, Cacao y Frutales "/>
    <m/>
    <s v="microempresa"/>
    <x v="22"/>
    <s v="LAT.-12.6536, LON:-72.4433"/>
    <n v="2"/>
    <n v="2"/>
    <s v="SI"/>
    <s v="SI"/>
    <s v="SI"/>
    <n v="5"/>
    <s v="SI"/>
    <s v="SI"/>
    <s v="Jennifer Celeste Montesinos Cruz"/>
    <n v="72687201"/>
    <x v="0"/>
    <x v="0"/>
    <n v="70"/>
    <s v="106052321002070016"/>
    <s v="80600532100207001659"/>
    <s v="CMAC CUSCO"/>
  </r>
  <r>
    <x v="51"/>
    <s v="Cusco "/>
    <x v="0"/>
    <x v="0"/>
    <s v="sector Yavero Chico"/>
    <x v="1"/>
    <s v="Escobar Carhuaslla Beatriz"/>
    <n v="29"/>
    <s v="F"/>
    <n v="500"/>
    <n v="77668223"/>
    <d v="2024-05-18T00:00:00"/>
    <d v="2024-11-18T00:00:00"/>
    <s v="Capital de Trabajo "/>
    <s v="Café, Cacao y Frutales "/>
    <m/>
    <s v="microempresa"/>
    <x v="26"/>
    <s v="LAT:-12.77375555, LON:-72.6705336"/>
    <n v="5"/>
    <n v="4"/>
    <s v="SI"/>
    <s v="SI"/>
    <s v="SI"/>
    <n v="4"/>
    <s v="SI"/>
    <s v="SI"/>
    <s v="Huaman Ccarhuaslla Wilmer"/>
    <n v="76125758"/>
    <x v="0"/>
    <x v="2"/>
    <n v="70"/>
    <s v="106052321002082367"/>
    <s v="80600532100208236752"/>
    <s v="CMAC CUSCO"/>
  </r>
  <r>
    <x v="52"/>
    <s v="Cusco "/>
    <x v="0"/>
    <x v="0"/>
    <s v="Sector lorohuachana alto"/>
    <x v="1"/>
    <s v="Escobedo Valenzuela Yamil Brahan"/>
    <n v="24"/>
    <s v="M"/>
    <n v="6000"/>
    <n v="60202811"/>
    <d v="2024-05-21T00:00:00"/>
    <d v="2025-05-16T00:00:00"/>
    <s v="Capital de Trabajo "/>
    <s v="Café, Cacao y Frutales "/>
    <m/>
    <s v="microempresa"/>
    <x v="27"/>
    <s v="LAT:-12.59899197,LON:-72.53308441"/>
    <n v="10"/>
    <n v="9"/>
    <s v="SI"/>
    <s v="SI"/>
    <s v="SI"/>
    <n v="5"/>
    <s v="SI"/>
    <s v="SI"/>
    <s v="Huaman Ccarhuaslla Wilmer"/>
    <n v="76125758"/>
    <x v="0"/>
    <x v="2"/>
    <n v="70"/>
    <s v="106052321002082367"/>
    <s v="80600532100208236752"/>
    <s v="CMAC CUSCO"/>
  </r>
  <r>
    <x v="53"/>
    <s v="Cusco "/>
    <x v="0"/>
    <x v="9"/>
    <s v="Zona Chonta"/>
    <x v="1"/>
    <s v="Saire Farfan Washington"/>
    <n v="64"/>
    <s v="M"/>
    <n v="5000"/>
    <n v="23918813"/>
    <d v="2023-05-13T00:00:00"/>
    <d v="2024-11-13T00:00:00"/>
    <s v="Capital de Trabajo "/>
    <s v="Café, Cacao y Frutales "/>
    <m/>
    <s v="microempresa"/>
    <x v="28"/>
    <s v="LAT:-13.62258841,LON:-72.54998739"/>
    <n v="10"/>
    <n v="9"/>
    <s v="SI"/>
    <s v="SI"/>
    <s v="SI"/>
    <n v="20"/>
    <s v="SI"/>
    <s v="SI"/>
    <s v="Huaman Ccarhuaslla Wilmer"/>
    <n v="76125758"/>
    <x v="0"/>
    <x v="1"/>
    <n v="120"/>
    <s v="106052321002082367"/>
    <s v="80600532100208236752"/>
    <s v="CMAC CUSCO"/>
  </r>
  <r>
    <x v="54"/>
    <s v="Cusco "/>
    <x v="0"/>
    <x v="9"/>
    <s v="Zona Alfamayo"/>
    <x v="1"/>
    <s v="Serrano Alfaro Edie Yamil"/>
    <n v="32"/>
    <s v="M"/>
    <n v="2500"/>
    <n v="47095849"/>
    <d v="2024-05-09T00:00:00"/>
    <d v="2025-05-09T00:00:00"/>
    <s v="Capital de Trabajo "/>
    <s v="Café, Cacao y Frutales "/>
    <m/>
    <s v="microempresa"/>
    <x v="9"/>
    <s v="LAT:-12.8335504, LON:-72.66141491"/>
    <n v="7"/>
    <n v="6"/>
    <s v="SI"/>
    <s v="SI"/>
    <s v="SI"/>
    <n v="7"/>
    <s v="SI"/>
    <s v="SI"/>
    <s v="Huaman Ccarhuaslla Wilmer"/>
    <n v="76125758"/>
    <x v="0"/>
    <x v="2"/>
    <n v="70"/>
    <s v="106052321002082367"/>
    <s v="80600532100208236752"/>
    <s v="CMAC CUSCO"/>
  </r>
  <r>
    <x v="55"/>
    <s v="Cusco "/>
    <x v="0"/>
    <x v="0"/>
    <s v="Zona Achupallayoc"/>
    <x v="1"/>
    <s v="Roman  Quispe Cristobal "/>
    <n v="53"/>
    <s v="M"/>
    <n v="4000"/>
    <n v="24997845"/>
    <d v="2024-04-29T00:00:00"/>
    <d v="2025-05-08T00:00:00"/>
    <s v="Capital de Trabajo "/>
    <s v="Café, Cacao y Frutales "/>
    <m/>
    <s v="microempresa"/>
    <x v="22"/>
    <s v="LAT:-12.77710678,LON:-72.59974897"/>
    <n v="10"/>
    <n v="5"/>
    <s v="SI"/>
    <s v="SI"/>
    <s v="SI"/>
    <n v="12"/>
    <s v="SI"/>
    <s v="SI"/>
    <s v="Huaman Ccarhuaslla Wilmer"/>
    <n v="76125758"/>
    <x v="0"/>
    <x v="1"/>
    <n v="120"/>
    <s v="106052321002082367"/>
    <s v="80600532100208236752"/>
    <s v="CMAC CUSCO"/>
  </r>
  <r>
    <x v="56"/>
    <s v="Cusco "/>
    <x v="0"/>
    <x v="4"/>
    <s v="Sector Huaynay alta"/>
    <x v="1"/>
    <s v="Noa Checca Alejandrina "/>
    <n v="55"/>
    <s v="F"/>
    <n v="500"/>
    <n v="24992152"/>
    <d v="2024-04-30T00:00:00"/>
    <d v="2024-11-03T00:00:00"/>
    <s v="Capital de Trabajo "/>
    <s v="Café, Cacao y Frutales "/>
    <m/>
    <s v="microempresa"/>
    <x v="29"/>
    <s v="LAT:-12.73326781,LON:-72.5727357"/>
    <n v="7"/>
    <n v="3"/>
    <s v="SI"/>
    <s v="SI"/>
    <s v="SI"/>
    <n v="15"/>
    <s v="SI"/>
    <s v="SI"/>
    <s v="Huaman Ccarhuaslla Wilmer"/>
    <n v="76125758"/>
    <x v="0"/>
    <x v="1"/>
    <n v="120"/>
    <s v="106052321002082367"/>
    <s v="80600532100208236752"/>
    <s v="CMAC CUSCO"/>
  </r>
  <r>
    <x v="57"/>
    <s v="Cusco "/>
    <x v="0"/>
    <x v="1"/>
    <s v="Echarate"/>
    <x v="1"/>
    <s v="Rimayhuaman Yupanqui Victoria"/>
    <n v="61"/>
    <s v="F"/>
    <n v="2000"/>
    <n v="24944112"/>
    <d v="2024-03-18T00:00:00"/>
    <d v="2025-03-18T00:00:00"/>
    <s v="Capital de Trabajo "/>
    <s v="Café, Cacao y Frutales "/>
    <m/>
    <s v="microempresa"/>
    <x v="9"/>
    <s v="LAT:-12.77378278,LON:-72.67051751"/>
    <n v="10"/>
    <n v="5"/>
    <s v="SI"/>
    <s v="SI"/>
    <s v="SI"/>
    <n v="20"/>
    <s v="SI"/>
    <s v="SI"/>
    <s v="Huaman Ccarhuaslla Wilmer"/>
    <n v="76125758"/>
    <x v="0"/>
    <x v="2"/>
    <n v="70"/>
    <s v="106052321002082367"/>
    <s v="80600532100208236752"/>
    <s v="CMAC CUSCO"/>
  </r>
  <r>
    <x v="58"/>
    <s v="Cusco "/>
    <x v="0"/>
    <x v="4"/>
    <s v="Zona Belen Pata"/>
    <x v="1"/>
    <s v="Viza Quispe Escolastica"/>
    <n v="61"/>
    <s v="F"/>
    <n v="1000"/>
    <n v="25212083"/>
    <d v="2024-05-08T00:00:00"/>
    <d v="2025-05-07T00:00:00"/>
    <s v="Capital de Trabajo "/>
    <s v="Café, Cacao y Frutales "/>
    <m/>
    <s v="microempresa"/>
    <x v="9"/>
    <s v="LAT:-1277657488,LON:-72.66837472"/>
    <n v="5"/>
    <n v="3"/>
    <s v="SI"/>
    <s v="SI"/>
    <s v="SI"/>
    <n v="25"/>
    <s v="SI"/>
    <s v="SI"/>
    <s v="Huaman Ccarhuaslla Wilmer"/>
    <n v="76125758"/>
    <x v="0"/>
    <x v="2"/>
    <n v="70"/>
    <s v="106052321002082367"/>
    <s v="80600532100208236752"/>
    <s v="CMAC CUSCO"/>
  </r>
  <r>
    <x v="59"/>
    <s v="Cusco "/>
    <x v="0"/>
    <x v="0"/>
    <s v="Yavero Chico"/>
    <x v="1"/>
    <s v="Bellido Hancco Manuel Alfredo"/>
    <n v="43"/>
    <s v="M"/>
    <n v="4000"/>
    <n v="43116798"/>
    <d v="2024-04-29T00:00:00"/>
    <d v="2024-11-10T00:00:00"/>
    <s v="Capital de Trabajo "/>
    <s v="Café, Cacao y Frutales "/>
    <m/>
    <s v="microempresa"/>
    <x v="22"/>
    <s v="LAT:-12.66481738,LON:-72.64438066"/>
    <n v="10"/>
    <n v="6"/>
    <s v="SI"/>
    <s v="SI"/>
    <s v="SI"/>
    <n v="10"/>
    <s v="SI"/>
    <s v="SI"/>
    <s v="Huaman Ccarhuaslla Wilmer"/>
    <n v="76125758"/>
    <x v="0"/>
    <x v="2"/>
    <n v="70"/>
    <s v="106052321002082367"/>
    <s v="80600532100208236752"/>
    <s v="CMAC CUSCO"/>
  </r>
  <r>
    <x v="60"/>
    <s v="Cusco "/>
    <x v="0"/>
    <x v="1"/>
    <s v="Sector de Ivanqui Palma Real"/>
    <x v="1"/>
    <s v="Manaccasa Ttito Juan Carlos"/>
    <n v="40"/>
    <s v="M"/>
    <n v="30000"/>
    <n v="42532850"/>
    <d v="2024-05-09T00:00:00"/>
    <d v="2024-05-09T00:00:00"/>
    <s v="Capital de Trabajo "/>
    <s v="Café, Cacao y Frutales "/>
    <m/>
    <s v="microempresa"/>
    <x v="30"/>
    <s v="LAT.:-12.5912 , LON:-72.7237"/>
    <n v="4"/>
    <n v="3"/>
    <s v="SI"/>
    <s v="SI"/>
    <s v="SI"/>
    <n v="10"/>
    <s v="SI"/>
    <s v="SI"/>
    <s v="Rimachi escobar Abel Antonio"/>
    <n v="48469689"/>
    <x v="0"/>
    <x v="0"/>
    <n v="70"/>
    <s v="106052321001972979"/>
    <s v="80600532100197297959"/>
    <s v="CMAC CUSCO"/>
  </r>
  <r>
    <x v="61"/>
    <s v="Cusco "/>
    <x v="0"/>
    <x v="4"/>
    <s v="Sector Cocabambilla "/>
    <x v="1"/>
    <s v="KELLY Fernandez Challco"/>
    <n v="26"/>
    <s v="F"/>
    <n v="18000"/>
    <n v="74495335"/>
    <d v="2024-05-31T00:00:00"/>
    <d v="2025-12-01T00:00:00"/>
    <s v="Capital de Trabajo "/>
    <s v="Café, Cacao y Frutales "/>
    <m/>
    <s v="microempresa"/>
    <x v="10"/>
    <s v="LAT:-12.6154073, LON:-72.5502189"/>
    <n v="5"/>
    <n v="3"/>
    <s v="SI"/>
    <s v="SI"/>
    <s v="SI"/>
    <n v="5"/>
    <s v="SI"/>
    <s v="SI"/>
    <s v="Huaman Ccarhuaslla Wilmer"/>
    <n v="76125758"/>
    <x v="0"/>
    <x v="2"/>
    <n v="70"/>
    <s v="106052321002082367"/>
    <s v="80600532100208236752"/>
    <s v="CMAC CUSCO"/>
  </r>
  <r>
    <x v="62"/>
    <m/>
    <x v="1"/>
    <x v="11"/>
    <m/>
    <x v="3"/>
    <m/>
    <m/>
    <n v="62"/>
    <n v="741000"/>
    <m/>
    <m/>
    <m/>
    <m/>
    <m/>
    <m/>
    <s v="PROMEDIO"/>
    <x v="31"/>
    <m/>
    <m/>
    <n v="240"/>
    <s v="has"/>
    <m/>
    <m/>
    <m/>
    <m/>
    <m/>
    <m/>
    <m/>
    <x v="2"/>
    <x v="3"/>
    <m/>
    <m/>
    <m/>
    <m/>
  </r>
  <r>
    <x v="62"/>
    <m/>
    <x v="1"/>
    <x v="11"/>
    <m/>
    <x v="3"/>
    <m/>
    <m/>
    <m/>
    <m/>
    <m/>
    <m/>
    <m/>
    <m/>
    <m/>
    <m/>
    <m/>
    <x v="32"/>
    <m/>
    <m/>
    <m/>
    <m/>
    <m/>
    <m/>
    <m/>
    <m/>
    <m/>
    <m/>
    <m/>
    <x v="2"/>
    <x v="3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6">
  <r>
    <n v="1"/>
    <s v="Cusco "/>
    <x v="0"/>
    <s v="Quellouno"/>
    <s v="Sector/ Pichari"/>
    <x v="0"/>
    <s v="Fredy Regaño Alarcon"/>
    <n v="48"/>
    <s v="M"/>
    <n v="50000"/>
    <n v="80401382"/>
    <n v="45288"/>
    <n v="46749"/>
    <s v="Capital de Trabajo "/>
    <s v="Café, Cacao y Frutales "/>
    <s v="microempresa"/>
    <n v="0.26819999999999999"/>
    <s v="LAT: -12.480750, LON: -72.783180"/>
    <n v="24.94"/>
    <n v="4"/>
    <s v="SI"/>
    <s v="SI"/>
    <s v="SI"/>
    <n v="10"/>
    <s v="SI"/>
    <s v="SI"/>
    <s v="recurrente"/>
  </r>
  <r>
    <n v="2"/>
    <s v="Cusco "/>
    <x v="0"/>
    <s v="Echarate"/>
    <s v="Sector/ Pispita"/>
    <x v="0"/>
    <s v="Richard Cristhian Contreras Segovia"/>
    <n v="47"/>
    <s v="M"/>
    <n v="3000"/>
    <n v="25012150"/>
    <n v="45288"/>
    <n v="45836"/>
    <s v="Capital de Trabajo "/>
    <s v="Cacao y Paco "/>
    <s v="microempresa"/>
    <n v="0.49009999999999998"/>
    <s v="LAT: -12.758357, LON: -72.578709"/>
    <n v="3"/>
    <n v="1"/>
    <s v="SI"/>
    <s v="SI"/>
    <s v="SI"/>
    <n v="5"/>
    <s v="SI"/>
    <s v="SI"/>
    <s v="recurrente"/>
  </r>
  <r>
    <n v="3"/>
    <s v="Cusco "/>
    <x v="0"/>
    <s v="Echarate"/>
    <s v="Caserio/ Calpampa"/>
    <x v="0"/>
    <s v="Efrain Hilares Paja"/>
    <n v="43"/>
    <s v="M"/>
    <n v="20000"/>
    <n v="40973753"/>
    <n v="45288"/>
    <n v="46023"/>
    <s v="Capital de Trabajo "/>
    <s v="cacao "/>
    <s v="microempresa"/>
    <n v="0.28320000000000001"/>
    <s v="LAT: -12.769319, LON: -72.575778"/>
    <n v="15"/>
    <n v="2"/>
    <s v="SI"/>
    <s v="SI"/>
    <s v="SI"/>
    <n v="6"/>
    <s v="SI"/>
    <s v="SI"/>
    <s v="recurrente"/>
  </r>
  <r>
    <n v="4"/>
    <s v="Cusco "/>
    <x v="0"/>
    <s v="Echarate"/>
    <s v="Sector/ San Agustin"/>
    <x v="0"/>
    <s v="Magaret Aymachoque Ccahua"/>
    <n v="45"/>
    <s v="F"/>
    <n v="1000"/>
    <n v="42904898"/>
    <n v="45288"/>
    <n v="45658"/>
    <s v="Capital de Trabajo "/>
    <s v="Árboles Frutales "/>
    <s v="microempresa"/>
    <n v="0.37669999999999998"/>
    <s v="LAT: -12.756229, LON: -72.581614"/>
    <n v="5"/>
    <n v="1"/>
    <s v="SI"/>
    <s v="SI"/>
    <s v="SI"/>
    <n v="6"/>
    <s v="SI"/>
    <s v="SI"/>
    <s v="recurrente"/>
  </r>
  <r>
    <n v="5"/>
    <s v="Cusco "/>
    <x v="0"/>
    <s v="Echarate"/>
    <s v="Alto Rosalinas/Calaminayoc"/>
    <x v="0"/>
    <s v="Barcena Usca Alfredo"/>
    <n v="43"/>
    <s v="M"/>
    <n v="30000"/>
    <n v="42476104"/>
    <n v="44931"/>
    <n v="46754"/>
    <s v="Capital de Trabajo "/>
    <s v="Café, Cacao y Frutales "/>
    <s v="microempresa"/>
    <n v="0.25190000000000001"/>
    <s v="LAT: -12.645953, LON: -72.689614"/>
    <n v="5"/>
    <n v="1"/>
    <s v="SI"/>
    <s v="SI"/>
    <s v="SI"/>
    <n v="10"/>
    <s v="SI"/>
    <s v="SI"/>
    <s v="recurrente"/>
  </r>
  <r>
    <n v="6"/>
    <s v="Cusco "/>
    <x v="0"/>
    <s v="Santa Teresa"/>
    <s v="Lucmapampa Chaupimayo Santa Teresa"/>
    <x v="0"/>
    <s v="Champi Aranzabal Vilma"/>
    <n v="45"/>
    <s v="F"/>
    <n v="5000"/>
    <n v="40343713"/>
    <n v="45300"/>
    <n v="45660"/>
    <s v="Capital de Trabajo "/>
    <s v="Café,Palto y Frutales "/>
    <s v="microempresa"/>
    <n v="0.33069999999999999"/>
    <s v="LAT: -13.041039, LON: -72.697408"/>
    <n v="4"/>
    <n v="2"/>
    <s v="SI"/>
    <s v="SI"/>
    <s v="SI"/>
    <n v="10"/>
    <s v="SI"/>
    <s v="SI"/>
    <s v="recurrente"/>
  </r>
  <r>
    <n v="7"/>
    <s v="Cusco "/>
    <x v="0"/>
    <s v="Maranura"/>
    <s v="Sector Chinche "/>
    <x v="0"/>
    <s v="Lozano Ninantay Griselda"/>
    <n v="57"/>
    <s v="F"/>
    <n v="2500"/>
    <n v="24969889"/>
    <n v="45301"/>
    <n v="45660"/>
    <s v="Capital de Trabajo "/>
    <s v="Árboles Frutales "/>
    <s v="microempresa"/>
    <n v="0.37019999999999997"/>
    <s v="LAT: -12.968657, LON: -72.656492"/>
    <n v="2"/>
    <n v="1"/>
    <s v="SI"/>
    <s v="SI"/>
    <s v="SI"/>
    <n v="10"/>
    <s v="SI"/>
    <s v="SI"/>
    <s v="recurrente"/>
  </r>
  <r>
    <n v="8"/>
    <s v="Cusco "/>
    <x v="0"/>
    <s v="Maranura"/>
    <s v="Sector moyomonte alto "/>
    <x v="0"/>
    <s v="Arias Huaman Milagrito Roxana"/>
    <n v="48"/>
    <s v="F"/>
    <n v="2000"/>
    <n v="25328719"/>
    <n v="45313"/>
    <n v="45673"/>
    <s v="Capital de Trabajo "/>
    <s v="Árboles Frutales "/>
    <s v="microempresa"/>
    <n v="0.37690000000000001"/>
    <s v="LAT: -12.959581, LON: -72.672316"/>
    <n v="2"/>
    <n v="1"/>
    <s v="SI"/>
    <s v="SI"/>
    <s v="SI"/>
    <n v="5"/>
    <s v="SI"/>
    <s v="SI"/>
    <s v="recurrente"/>
  </r>
  <r>
    <n v="9"/>
    <s v="Cusco "/>
    <x v="0"/>
    <s v="Maranura"/>
    <s v="Sectoe Uchumayo"/>
    <x v="0"/>
    <s v="Valdeiglesia Arias Misuri Corria"/>
    <n v="25"/>
    <s v="F"/>
    <n v="1000"/>
    <n v="76847088"/>
    <n v="45313"/>
    <n v="45679"/>
    <s v="Capital de Trabajo "/>
    <s v="Árboles Frutales "/>
    <s v="microempresa"/>
    <n v="0.37669999999999998"/>
    <s v="LAT: -12.959581, LON: -72.672297"/>
    <n v="1"/>
    <n v="1"/>
    <s v="SI"/>
    <s v="SI"/>
    <s v="SI"/>
    <n v="3"/>
    <s v="SI"/>
    <s v="SI"/>
    <s v="recurrente"/>
  </r>
  <r>
    <n v="10"/>
    <s v="Cusco "/>
    <x v="0"/>
    <s v="Santa Ana"/>
    <s v="Dorminduyoc"/>
    <x v="1"/>
    <s v="Ramos Diaz Pilar"/>
    <n v="43"/>
    <s v="F"/>
    <n v="8000"/>
    <n v="24941971"/>
    <n v="45329"/>
    <n v="45512"/>
    <s v="Capital de Trabajo "/>
    <s v="Café, Cacao y Frutales "/>
    <s v="microempresa"/>
    <n v="0.36859999999999998"/>
    <s v="LAT:-12.7815000,LON:-72.6301000"/>
    <n v="3"/>
    <n v="3"/>
    <s v="SI"/>
    <s v="SI"/>
    <s v="SI"/>
    <n v="5"/>
    <s v="SI"/>
    <s v="SI"/>
    <s v="recurrente"/>
  </r>
  <r>
    <n v="11"/>
    <s v="Cusco "/>
    <x v="1"/>
    <s v="ocobamba"/>
    <s v="Sector Chinganilla"/>
    <x v="2"/>
    <s v="Arcaya Suarez Shalda"/>
    <n v="32"/>
    <s v="F"/>
    <n v="2000"/>
    <n v="47002066"/>
    <n v="45375"/>
    <n v="45741"/>
    <s v="Capital de Trabajo "/>
    <s v="Café, Cacao y Frutales "/>
    <s v="microempresa"/>
    <n v="0.3448"/>
    <s v="LAT:-12.6577,LON:-72.3820"/>
    <n v="3"/>
    <n v="3"/>
    <s v="SI"/>
    <s v="SI"/>
    <s v="SI"/>
    <n v="5"/>
    <s v="SI"/>
    <s v="SI"/>
    <s v="nuevo"/>
  </r>
  <r>
    <n v="12"/>
    <s v="Cusco "/>
    <x v="0"/>
    <s v="Santa Ana"/>
    <s v="Huayanay alta"/>
    <x v="1"/>
    <s v="Quispe Ttito Yony"/>
    <n v="52"/>
    <s v="F"/>
    <n v="15000"/>
    <n v="23969077"/>
    <n v="45329"/>
    <n v="45879"/>
    <s v="Capital de Trabajo "/>
    <s v="Café, Cacao y Frutales "/>
    <s v="microempresa"/>
    <n v="0.2908"/>
    <s v="LAT:-12.82350,LON:-72.64370"/>
    <n v="4"/>
    <n v="3"/>
    <s v="SI"/>
    <s v="SI"/>
    <s v="SI"/>
    <n v="5"/>
    <s v="SI"/>
    <s v="SI"/>
    <s v="nuevo"/>
  </r>
  <r>
    <n v="13"/>
    <s v="Cusco "/>
    <x v="0"/>
    <s v="Echarate"/>
    <s v="sector Chayña puerto"/>
    <x v="1"/>
    <s v="Enriquez Espinoza Raul"/>
    <n v="51"/>
    <s v="M"/>
    <n v="20000"/>
    <n v="24993979"/>
    <n v="45355"/>
    <n v="45715"/>
    <s v="Capital de Trabajo "/>
    <s v="Café, Cacao y Frutales "/>
    <s v="microempresa"/>
    <n v="0.2742"/>
    <s v="LAT:-72.521877,LON:-72.521877"/>
    <n v="25"/>
    <n v="5"/>
    <s v="SI"/>
    <s v="SI"/>
    <s v="SI"/>
    <n v="8"/>
    <s v="SI"/>
    <s v="SI"/>
    <s v="recurrente"/>
  </r>
  <r>
    <n v="14"/>
    <s v="Cusco "/>
    <x v="0"/>
    <s v="Quellouno"/>
    <s v="sector de lorohuachana"/>
    <x v="1"/>
    <s v="Enciso Condori Max Emerson"/>
    <n v="42"/>
    <s v="M"/>
    <n v="30000"/>
    <n v="42055740"/>
    <n v="44994"/>
    <n v="46440"/>
    <s v="Capital de Trabajo "/>
    <s v="Café, Cacao y Frutales "/>
    <s v="microempresa"/>
    <n v="0.2742"/>
    <s v="LAT:-12.610723,LON:-72.521877"/>
    <n v="8"/>
    <n v="3"/>
    <s v="SI"/>
    <s v="SI"/>
    <s v="SI"/>
    <n v="10"/>
    <s v="SI"/>
    <s v="SI"/>
    <s v="recurrente"/>
  </r>
  <r>
    <n v="15"/>
    <s v="Cusco "/>
    <x v="0"/>
    <s v="Santa Ana"/>
    <s v="sector pampa concepcion"/>
    <x v="1"/>
    <s v="Olivera Puma Gissela"/>
    <n v="33"/>
    <s v="F"/>
    <n v="30000"/>
    <n v="48061352"/>
    <n v="45365"/>
    <n v="45735"/>
    <s v="Capital de Trabajo "/>
    <s v="Café, Cacao y Frutales "/>
    <s v="microempresa"/>
    <n v="0.25040000000000001"/>
    <s v="LAT:-12.722856,LON:-72.553122"/>
    <n v="10"/>
    <n v="4"/>
    <s v="SI"/>
    <s v="SI"/>
    <s v="SI"/>
    <n v="5"/>
    <s v="SI"/>
    <s v="SI"/>
    <s v="recurrente"/>
  </r>
  <r>
    <n v="16"/>
    <s v="Cusco "/>
    <x v="0"/>
    <s v="Quellouno"/>
    <s v="sector chochayoc bajo"/>
    <x v="1"/>
    <s v="Yucra Huaman Alicia"/>
    <n v="41"/>
    <s v="F"/>
    <n v="10000"/>
    <n v="42163419"/>
    <n v="45363"/>
    <n v="45728"/>
    <s v="Capital de Trabajo "/>
    <s v="Café, Cacao y Frutales "/>
    <s v="microempresa"/>
    <n v="0.2802"/>
    <s v="LAT:-12.599717,LON:-72.682624"/>
    <n v="5"/>
    <n v="3"/>
    <s v="SI"/>
    <s v="SI"/>
    <s v="SI"/>
    <n v="6"/>
    <s v="SI"/>
    <s v="SI"/>
    <s v="recurrente"/>
  </r>
  <r>
    <n v="17"/>
    <s v="Cusco "/>
    <x v="0"/>
    <s v="Quellouno"/>
    <s v="sector alto pabellon"/>
    <x v="1"/>
    <s v="Barreto Barreto Isidro"/>
    <n v="62"/>
    <s v="M"/>
    <n v="6000"/>
    <n v="24998121"/>
    <n v="45316"/>
    <n v="45496"/>
    <s v="Activo Fijo"/>
    <s v="Café, Cacao y Frutales "/>
    <s v="microempresa"/>
    <n v="0.3417"/>
    <s v="LAT:-12.59978, LON:-72.682683"/>
    <n v="11"/>
    <n v="4"/>
    <s v="SI"/>
    <s v="SI"/>
    <s v="SI"/>
    <n v="10"/>
    <s v="SI"/>
    <s v="SI"/>
    <s v="recurrente"/>
  </r>
  <r>
    <n v="18"/>
    <s v="Cusco "/>
    <x v="0"/>
    <s v="Santa Ana"/>
    <s v="santa ana"/>
    <x v="1"/>
    <s v="Quiroz Zevallos Andrea Keyko"/>
    <n v="29"/>
    <s v="F"/>
    <n v="30000"/>
    <n v="71314803"/>
    <n v="45313"/>
    <n v="46393"/>
    <s v="Capital de Trabajo "/>
    <s v="Café, Cacao y Frutales "/>
    <s v="microempresa"/>
    <n v="0.25340000000000001"/>
    <s v="LAT:-12.973159,LON:-72.669972"/>
    <n v="3"/>
    <n v="2"/>
    <s v="SI"/>
    <s v="SI"/>
    <s v="SI"/>
    <n v="12"/>
    <s v="SI"/>
    <s v="SI"/>
    <s v="recurrente"/>
  </r>
  <r>
    <n v="19"/>
    <s v="Cusco "/>
    <x v="0"/>
    <s v="Kiteni"/>
    <s v="Sector huayllayoc"/>
    <x v="1"/>
    <s v="Mellado Olabarrera Lino Arnaldo"/>
    <n v="63"/>
    <s v="M"/>
    <n v="50000"/>
    <n v="24940437"/>
    <n v="44945"/>
    <n v="47111"/>
    <s v="Activo Fijo"/>
    <s v="Café, Cacao y Frutales "/>
    <s v="Pequeña empresa"/>
    <n v="0.2757"/>
    <s v="LAT:-12.725408,LON:-72.557893"/>
    <n v="18"/>
    <n v="12"/>
    <s v="SI"/>
    <s v="SI"/>
    <s v="SI"/>
    <n v="5"/>
    <s v="SI"/>
    <s v="SI"/>
    <s v="recurrente"/>
  </r>
  <r>
    <n v="20"/>
    <s v="Cusco "/>
    <x v="0"/>
    <s v="Quellouno"/>
    <s v="Sector Alto Canelon"/>
    <x v="1"/>
    <s v="Gutierrez Escobar Raul"/>
    <n v="44"/>
    <s v="M"/>
    <n v="30000"/>
    <n v="41378591"/>
    <n v="45307"/>
    <n v="45667"/>
    <s v="Capital de Trabajo "/>
    <s v="Café, Cacao y Frutales "/>
    <s v="microempresa"/>
    <n v="0.25629999999999997"/>
    <s v="LAT.-12.649832,LON:-72.49118"/>
    <n v="7"/>
    <n v="4"/>
    <s v="SI"/>
    <s v="SI"/>
    <s v="SI"/>
    <n v="8"/>
    <s v="SI"/>
    <s v="SI"/>
    <s v="recurrente"/>
  </r>
  <r>
    <n v="21"/>
    <s v="Cusco "/>
    <x v="0"/>
    <s v="Echarati"/>
    <s v="Sector de Pampa Concepcion"/>
    <x v="1"/>
    <s v="Vargas Rojas Vilma"/>
    <n v="47"/>
    <s v="F"/>
    <n v="30000"/>
    <n v="25010315"/>
    <n v="45378"/>
    <n v="45470"/>
    <s v="Capital de Trabajo "/>
    <s v="Café, Cacao y Frutales "/>
    <s v="microempresa"/>
    <n v="0.26819999999999999"/>
    <s v="LAT:-12.725085,LON:-72.553549"/>
    <n v="3"/>
    <n v="3"/>
    <s v="SI"/>
    <s v="SI"/>
    <s v="SI"/>
    <n v="7"/>
    <s v="SI"/>
    <s v="SI"/>
    <s v="recurrente"/>
  </r>
  <r>
    <n v="22"/>
    <s v="Cusco "/>
    <x v="0"/>
    <s v="Vilcabamba"/>
    <s v="Sector de Choquelluska-Huayrurani"/>
    <x v="1"/>
    <s v="Vera Valdivia Jaime"/>
    <n v="29"/>
    <s v="M"/>
    <n v="20000"/>
    <n v="72448141"/>
    <n v="45376"/>
    <n v="45741"/>
    <s v="Capital de Trabajo "/>
    <s v="Café, Cacao y Frutales "/>
    <s v="microempresa"/>
    <n v="0.26079999999999998"/>
    <s v="LAT:-13.0441,LON:-72.7882"/>
    <n v="7"/>
    <n v="5"/>
    <s v="SI"/>
    <s v="SI"/>
    <s v="SI"/>
    <n v="5"/>
    <s v="SI"/>
    <s v="SI"/>
    <s v="recurrente"/>
  </r>
  <r>
    <n v="23"/>
    <s v="Cusco "/>
    <x v="0"/>
    <s v="Santa Ana"/>
    <s v="Sector Huanay Alto"/>
    <x v="1"/>
    <s v="Tania Gutierrez Martinez "/>
    <n v="32"/>
    <s v="F"/>
    <n v="30000"/>
    <n v="47687141"/>
    <n v="45394"/>
    <n v="46474"/>
    <s v="Capital de Trabajo "/>
    <s v="Café, Cacao y Frutales "/>
    <s v="microempresa"/>
    <n v="0.26079999999999998"/>
    <s v="LAT:-12.7901,LON:-72.6679"/>
    <n v="3"/>
    <n v="2"/>
    <s v="SI"/>
    <s v="SI"/>
    <s v="SI"/>
    <n v="5"/>
    <s v="SI"/>
    <s v="SI"/>
    <s v="recurrente"/>
  </r>
  <r>
    <n v="24"/>
    <s v="Cusco "/>
    <x v="0"/>
    <s v="Quellouno"/>
    <s v="Sector de Chapo Kuviriari"/>
    <x v="1"/>
    <s v="Cuba Abarca Andres"/>
    <n v="55"/>
    <s v="M"/>
    <n v="2500"/>
    <n v="23939809"/>
    <n v="45384"/>
    <n v="45749"/>
    <s v="Capital de Trabajo "/>
    <s v="Café, Cacao y Frutales "/>
    <s v="microempresa"/>
    <n v="0.3448"/>
    <s v="LAT:-12.4943,LON:-72.7060"/>
    <n v="3"/>
    <n v="2"/>
    <s v="SI"/>
    <s v="SI"/>
    <s v="SI"/>
    <n v="4"/>
    <s v="SI"/>
    <s v="SI"/>
    <s v="nuevo"/>
  </r>
  <r>
    <n v="25"/>
    <s v="Cusco "/>
    <x v="0"/>
    <s v="Santa Ana"/>
    <s v="Sector de Illapani"/>
    <x v="1"/>
    <s v="Ugarte Escalante Elias"/>
    <n v="60"/>
    <s v="M"/>
    <n v="63000"/>
    <n v="24953763"/>
    <n v="45386"/>
    <n v="45741"/>
    <s v="Capital de Trabajo "/>
    <s v="Café, Cacao y Frutales "/>
    <s v="microempresa"/>
    <n v="0.26519999999999999"/>
    <s v="LAT:-12.6569,LON:-72.6310"/>
    <n v="28"/>
    <n v="20"/>
    <s v="SI"/>
    <s v="SI"/>
    <s v="SI"/>
    <n v="5"/>
    <s v="SI"/>
    <s v="SI"/>
    <s v="recurrente"/>
  </r>
  <r>
    <n v="26"/>
    <s v="Cusco "/>
    <x v="0"/>
    <s v="Echarate"/>
    <s v="Sector Canelon Alto"/>
    <x v="1"/>
    <s v="Guitierrez escobar raul"/>
    <n v="44"/>
    <s v="M"/>
    <n v="30000"/>
    <n v="41378591"/>
    <n v="45307"/>
    <n v="45667"/>
    <s v="Capital de Trabajo "/>
    <s v="Café, Cacao y Frutales "/>
    <s v="microempresa"/>
    <n v="0.25629999999999997"/>
    <s v="LAT:-12.649832,LON:-72.49118"/>
    <n v="7"/>
    <n v="4"/>
    <s v="SI"/>
    <s v="SI"/>
    <s v="SI"/>
    <n v="5"/>
    <s v="SI"/>
    <s v="SI"/>
    <s v="recurrente"/>
  </r>
  <r>
    <n v="27"/>
    <s v="Cusco "/>
    <x v="0"/>
    <s v="Quellouno"/>
    <s v="Sector Putucusi"/>
    <x v="1"/>
    <s v="Prudencio Pinedo Dante Daniel"/>
    <n v="44"/>
    <s v="M"/>
    <n v="30000"/>
    <n v="42268874"/>
    <n v="45394"/>
    <n v="45389"/>
    <s v="Capital de Trabajo "/>
    <s v="Café, Cacao y Frutales "/>
    <s v="microempresa"/>
    <n v="0.26840000000000003"/>
    <s v="LAT:-12.6385, LON:-72.6226"/>
    <n v="3"/>
    <n v="1.5"/>
    <s v="SI"/>
    <s v="SI"/>
    <s v="SI"/>
    <n v="10"/>
    <s v="SI"/>
    <s v="SI"/>
    <s v="recurrente"/>
  </r>
  <r>
    <n v="28"/>
    <s v="Cusco "/>
    <x v="0"/>
    <s v="Quellouno"/>
    <s v="Sector de mercedesniyoc"/>
    <x v="1"/>
    <s v="Mejia Daza Aida Luz"/>
    <n v="23"/>
    <s v="F"/>
    <n v="2000"/>
    <n v="73423584"/>
    <n v="45397"/>
    <n v="45392"/>
    <s v="Capital de Trabajo "/>
    <s v="Café, Cacao y Frutales "/>
    <s v="microempresa"/>
    <n v="0.3448"/>
    <s v="LAT:-12.6546.LON:-72.6102"/>
    <n v="2"/>
    <n v="2"/>
    <s v="SI"/>
    <s v="SI"/>
    <s v="SI"/>
    <n v="6"/>
    <s v="SI"/>
    <s v="SI"/>
    <s v="recurrente"/>
  </r>
  <r>
    <n v="29"/>
    <s v="Cusco "/>
    <x v="0"/>
    <s v="Santa Teresa"/>
    <s v="Sector Paraiso Huayanay "/>
    <x v="1"/>
    <s v="Rodriguez huarancca corina"/>
    <n v="51"/>
    <s v="F"/>
    <n v="1000"/>
    <n v="25012348"/>
    <n v="45355"/>
    <n v="45720"/>
    <s v="Capital de Trabajo "/>
    <s v="Café, Cacao y Frutales "/>
    <s v="microempresa"/>
    <n v="0.3448"/>
    <s v="LAT:-12.827180, LON: -72.664398"/>
    <n v="3"/>
    <n v="3"/>
    <s v="SI"/>
    <s v="SI"/>
    <s v="SI"/>
    <n v="10"/>
    <s v="SI"/>
    <s v="SI"/>
    <s v="nuevo"/>
  </r>
  <r>
    <n v="30"/>
    <s v="Cusco "/>
    <x v="0"/>
    <s v="Huayopata"/>
    <s v="Sector huayopata"/>
    <x v="1"/>
    <s v="Jimenez peña Santusa"/>
    <n v="54"/>
    <s v="F"/>
    <n v="5000"/>
    <n v="24983605"/>
    <n v="45358"/>
    <n v="45723"/>
    <s v="Capital de Trabajo "/>
    <s v="Café, Cacao y Frutales "/>
    <s v="microempresa"/>
    <n v="0.47289999999999999"/>
    <s v="LAT:-13.006691, LON:-72.5788981"/>
    <n v="5"/>
    <n v="4"/>
    <s v="SI"/>
    <s v="SI"/>
    <s v="SI"/>
    <n v="12"/>
    <s v="SI"/>
    <s v="SI"/>
    <s v="recurrente"/>
  </r>
  <r>
    <n v="31"/>
    <s v="Cusco "/>
    <x v="0"/>
    <s v="huyro"/>
    <s v="Sector Marampata"/>
    <x v="1"/>
    <s v="Arrozquipa Huanca Antonio"/>
    <n v="64"/>
    <s v="M"/>
    <n v="1500"/>
    <n v="24962579"/>
    <n v="45358"/>
    <n v="45723"/>
    <s v="Capital de Trabajo "/>
    <s v="Café,Palto y Frutales "/>
    <s v="microempresa"/>
    <n v="0.3448"/>
    <s v="LAT:-13.0003476, LON:- 72.5773756"/>
    <n v="4"/>
    <n v="4"/>
    <s v="SI"/>
    <s v="SI"/>
    <s v="SI"/>
    <n v="8"/>
    <s v="SI"/>
    <s v="SI"/>
    <s v="recurrente"/>
  </r>
  <r>
    <n v="32"/>
    <s v="Cusco "/>
    <x v="0"/>
    <s v="Quellouno"/>
    <s v="Sector Lampachaca"/>
    <x v="1"/>
    <s v="Bellido Hancco Valeriano"/>
    <n v="50"/>
    <s v="M"/>
    <n v="30000"/>
    <n v="24997836"/>
    <n v="45359"/>
    <n v="46820"/>
    <s v="Activo Fijo"/>
    <s v="Café,Palto y Frutales "/>
    <s v="microempresa"/>
    <n v="0.2908"/>
    <s v="LAT:-12.5644639,LON:-72.50219837"/>
    <n v="15"/>
    <n v="7"/>
    <s v="SI"/>
    <s v="SI"/>
    <s v="SI"/>
    <n v="13"/>
    <s v="SI"/>
    <s v="SI"/>
    <s v="recurrente"/>
  </r>
  <r>
    <n v="33"/>
    <s v="Cusco "/>
    <x v="0"/>
    <s v="Quellouno"/>
    <s v="Sector Suyocuyoc ccochayoc"/>
    <x v="1"/>
    <s v="Nayda yapo Amao"/>
    <n v="29"/>
    <s v="F"/>
    <n v="4000"/>
    <n v="63121545"/>
    <n v="45359"/>
    <n v="45731"/>
    <s v="Capital de Trabajo "/>
    <s v="Café,Palto y Frutales "/>
    <s v="microempresa"/>
    <n v="0.33700000000000002"/>
    <s v="LAT:-12.6135899,LON:-72.61760354"/>
    <n v="5"/>
    <n v="4"/>
    <s v="SI"/>
    <s v="SI"/>
    <s v="SI"/>
    <n v="6"/>
    <s v="SI"/>
    <s v="SI"/>
    <s v="nuevo"/>
  </r>
  <r>
    <n v="34"/>
    <s v="Cusco "/>
    <x v="0"/>
    <s v="Quellouno"/>
    <s v="Sector bombohuactana"/>
    <x v="1"/>
    <s v="Quintana Toribio Felipe"/>
    <n v="59"/>
    <s v="M"/>
    <n v="7000"/>
    <n v="24988697"/>
    <n v="45366"/>
    <n v="45726"/>
    <s v="Capital de Trabajo "/>
    <s v="Café,Palto y Frutales "/>
    <s v="microempresa"/>
    <n v="0.33229999999999998"/>
    <s v="LAT:-12.6645257,LON:-72.47781678"/>
    <n v="5.5"/>
    <n v="5"/>
    <s v="SI"/>
    <s v="SI"/>
    <s v="SI"/>
    <n v="15"/>
    <s v="SI"/>
    <s v="SI"/>
    <s v="recurrente"/>
  </r>
  <r>
    <n v="35"/>
    <s v="Cusco "/>
    <x v="0"/>
    <s v="Santa Ana"/>
    <s v="Huayanay Paraiso"/>
    <x v="1"/>
    <s v="Maribel Delgado Concha"/>
    <n v="45"/>
    <s v="F"/>
    <n v="2500"/>
    <n v="40350437"/>
    <n v="45362"/>
    <n v="45727"/>
    <s v="Capital de Trabajo "/>
    <s v="Café,Palto y Frutales "/>
    <s v="microempresa"/>
    <n v="0.3448"/>
    <s v="LAT:-12.73097956,LON:-72.5349370"/>
    <n v="3"/>
    <n v="3"/>
    <s v="SI"/>
    <s v="SI"/>
    <s v="SI"/>
    <n v="11"/>
    <s v="SI"/>
    <s v="SI"/>
    <s v="nuevo"/>
  </r>
  <r>
    <n v="36"/>
    <s v="Cusco "/>
    <x v="0"/>
    <s v="Quellouno"/>
    <s v="Sector Miraflores"/>
    <x v="1"/>
    <s v="Almanza Tocre Yenifer"/>
    <n v="29"/>
    <s v="F"/>
    <n v="3000"/>
    <n v="71196664"/>
    <n v="45365"/>
    <n v="45730"/>
    <s v="Capital de Trabajo "/>
    <s v="Árboles Frutales "/>
    <s v="microempresa"/>
    <n v="0.33700000000000002"/>
    <s v="LAT:-126646467,LON:-72.47793999"/>
    <n v="5"/>
    <n v="2"/>
    <s v="SI"/>
    <s v="SI"/>
    <s v="SI"/>
    <n v="17"/>
    <s v="SI"/>
    <s v="SI"/>
    <s v="nuevo"/>
  </r>
  <r>
    <n v="37"/>
    <s v="Cusco "/>
    <x v="0"/>
    <s v="Quellouno"/>
    <s v="Sector lorohuachana"/>
    <x v="1"/>
    <s v="Aranibar Huaman Mario"/>
    <n v="61"/>
    <s v="M"/>
    <n v="2000"/>
    <n v="24997995"/>
    <n v="45341"/>
    <n v="45529"/>
    <s v="Capital de Trabajo "/>
    <s v="Café, Cacao y Frutales "/>
    <s v="microempresa"/>
    <n v="0.4274"/>
    <s v="LAT:-12.58822452,LON:-72.82317254"/>
    <n v="3"/>
    <n v="3"/>
    <s v="SI"/>
    <s v="SI"/>
    <s v="SI"/>
    <n v="13"/>
    <s v="SI"/>
    <s v="SI"/>
    <s v="nuevo"/>
  </r>
  <r>
    <n v="38"/>
    <s v="Cusco "/>
    <x v="0"/>
    <s v="Quellouno"/>
    <s v="Sector Miraflores"/>
    <x v="1"/>
    <s v="Challco Quispe Icela"/>
    <n v="34"/>
    <s v="F"/>
    <n v="5000"/>
    <n v="46371126"/>
    <n v="45338"/>
    <n v="45705"/>
    <s v="Capital de Trabajo "/>
    <s v="Café, Cacao y Frutales "/>
    <s v="microempresa"/>
    <n v="0.33229999999999998"/>
    <s v="LAT:-12.56458219,LON:-72.50550201"/>
    <n v="6"/>
    <n v="4"/>
    <s v="SI"/>
    <s v="SI"/>
    <s v="SI"/>
    <n v="6"/>
    <s v="SI"/>
    <s v="SI"/>
    <s v="recurrente"/>
  </r>
  <r>
    <n v="39"/>
    <s v="Cusco "/>
    <x v="0"/>
    <s v="Echarate"/>
    <s v="Pampa Concepcion"/>
    <x v="1"/>
    <s v="Mamani Suyo Wilson"/>
    <n v="25"/>
    <s v="M"/>
    <n v="5000"/>
    <n v="76983784"/>
    <n v="45391"/>
    <n v="45756"/>
    <s v="Capital de Trabajo "/>
    <s v="Café, Cacao y Frutales "/>
    <s v="microempresa"/>
    <n v="0.33229999999999998"/>
    <s v="LAT:-12.66508472,LON:-72.64305797"/>
    <n v="7"/>
    <n v="5"/>
    <s v="SI"/>
    <s v="SI"/>
    <s v="SI"/>
    <n v="8"/>
    <s v="SI"/>
    <s v="SI"/>
    <s v="recurrente"/>
  </r>
  <r>
    <n v="40"/>
    <s v="Cusco "/>
    <x v="0"/>
    <s v="Quellouno"/>
    <s v="Sector chapu Boyero"/>
    <x v="1"/>
    <s v="miranda mendoza samuel"/>
    <n v="62"/>
    <s v="M"/>
    <n v="3000"/>
    <n v="24972730"/>
    <n v="45377"/>
    <n v="45737"/>
    <s v="Capital de Trabajo "/>
    <s v="Café, Cacao y Frutales "/>
    <s v="microempresa"/>
    <n v="0.33700000000000002"/>
    <s v="LAT:-12.54593943,LON:-72.66581871"/>
    <n v="10"/>
    <n v="3"/>
    <s v="SI"/>
    <s v="SI"/>
    <s v="SI"/>
    <n v="15"/>
    <s v="SI"/>
    <s v="SI"/>
    <s v="nuevo"/>
  </r>
  <r>
    <n v="41"/>
    <s v="Cusco "/>
    <x v="0"/>
    <s v="Quellouno"/>
    <s v="Miraflores las Americas"/>
    <x v="1"/>
    <s v="Bellido Hancco Alfredo"/>
    <n v="43"/>
    <s v="M"/>
    <n v="4000"/>
    <n v="43116798"/>
    <n v="45411"/>
    <n v="45606"/>
    <s v="Capital de Trabajo "/>
    <s v="Café, Cacao y Frutales "/>
    <s v="microempresa"/>
    <n v="0.33700000000000002"/>
    <s v="LAT:-12.6648178,LON:-72.64438066"/>
    <n v="10"/>
    <n v="4"/>
    <s v="SI"/>
    <s v="SI"/>
    <s v="SI"/>
    <n v="10"/>
    <s v="SI"/>
    <s v="SI"/>
    <s v="recurrente"/>
  </r>
  <r>
    <n v="42"/>
    <s v="Cusco "/>
    <x v="0"/>
    <s v="Quellouno"/>
    <s v="Sect. Mesa Rumiyoc"/>
    <x v="1"/>
    <s v="gutierrez quispe dominga"/>
    <n v="65"/>
    <s v="F"/>
    <n v="3000"/>
    <n v="24972730"/>
    <n v="45377"/>
    <n v="45737"/>
    <s v="Capital de Trabajo "/>
    <s v="Café, Cacao y Frutales "/>
    <s v="microempresa"/>
    <n v="0.33700000000000002"/>
    <s v="LAT:-12.54557369,LON-72.6653550"/>
    <n v="8"/>
    <n v="5"/>
    <s v="SI"/>
    <s v="SI"/>
    <s v="SI"/>
    <n v="5"/>
    <s v="SI"/>
    <s v="SI"/>
    <s v="nuevo"/>
  </r>
  <r>
    <n v="43"/>
    <s v="Cusco "/>
    <x v="0"/>
    <s v="Quellouno"/>
    <s v="Sector Campanayoc"/>
    <x v="1"/>
    <s v="follano monterroso doris"/>
    <n v="49"/>
    <s v="F"/>
    <n v="1500"/>
    <n v="10387241"/>
    <n v="45391"/>
    <n v="45756"/>
    <s v="Capital de Trabajo "/>
    <s v="Café, Cacao y Frutales "/>
    <s v="microempresa"/>
    <n v="0.3448"/>
    <s v="LAT:-12.66495471,LON-72.64305183"/>
    <n v="5"/>
    <n v="3"/>
    <s v="SI"/>
    <s v="SI"/>
    <s v="SI"/>
    <n v="10"/>
    <s v="SI"/>
    <s v="SI"/>
    <s v="nuevo"/>
  </r>
  <r>
    <n v="44"/>
    <s v="Cusco "/>
    <x v="0"/>
    <s v="Santa Ana"/>
    <s v="Sector Paraiso Huayanay "/>
    <x v="1"/>
    <s v="llerena rimayhuaman gilmar jhon"/>
    <n v="33"/>
    <s v="M"/>
    <n v="1000"/>
    <n v="47015418"/>
    <n v="45397"/>
    <n v="45413"/>
    <s v="Capital de Trabajo "/>
    <s v="Café, Cacao y Frutales "/>
    <s v="microempresa"/>
    <n v="0.33229999999999998"/>
    <s v="LAT:-12.54593952,LON-72.6658160"/>
    <n v="5"/>
    <n v="4"/>
    <s v="SI"/>
    <s v="SI"/>
    <s v="SI"/>
    <n v="15"/>
    <s v="SI"/>
    <s v="SI"/>
    <s v="recurrente"/>
  </r>
  <r>
    <n v="45"/>
    <s v="Cusco "/>
    <x v="0"/>
    <s v="Quellouno"/>
    <s v="Hatumpampa"/>
    <x v="1"/>
    <s v="challco ramos santos"/>
    <n v="63"/>
    <s v="M"/>
    <n v="1000"/>
    <n v="24985530"/>
    <n v="45334"/>
    <n v="45704"/>
    <s v="Capital de Trabajo "/>
    <s v="Café, Cacao y Frutales "/>
    <s v="microempresa"/>
    <n v="0.3448"/>
    <s v="LAT:-12.62259711,LON-72.54996558"/>
    <n v="6"/>
    <n v="2"/>
    <s v="SI"/>
    <s v="SI"/>
    <s v="SI"/>
    <n v="10"/>
    <s v="SI"/>
    <s v="SI"/>
    <s v="nuevo"/>
  </r>
  <r>
    <n v="46"/>
    <s v="Cusco "/>
    <x v="0"/>
    <s v="Quellouno"/>
    <s v="Sector Lampachaca"/>
    <x v="1"/>
    <s v="bellido ancco wilfredo"/>
    <n v="31"/>
    <s v="M"/>
    <n v="15000"/>
    <n v="48503551"/>
    <n v="45394"/>
    <n v="45943"/>
    <s v="Capital de Trabajo "/>
    <s v="Café, Cacao y Frutales "/>
    <s v="microempresa"/>
    <n v="0.2908"/>
    <s v="LAT:-12.62253342,LON:-72.5501341"/>
    <n v="10"/>
    <n v="6"/>
    <s v="SI"/>
    <s v="SI"/>
    <s v="SI"/>
    <n v="5"/>
    <s v="SI"/>
    <s v="SI"/>
    <s v="recurrente"/>
  </r>
  <r>
    <n v="47"/>
    <s v="Cusco "/>
    <x v="0"/>
    <s v="Huayopata"/>
    <s v="Sector San pablo"/>
    <x v="1"/>
    <s v="Berrio Ccasani Santusa"/>
    <n v="59"/>
    <s v="F"/>
    <n v="10000"/>
    <n v="25005850"/>
    <n v="45332"/>
    <n v="45698"/>
    <s v="Capital de Trabajo "/>
    <s v="Café, Cacao y Frutales "/>
    <s v="microempresa"/>
    <n v="0.28770000000000001"/>
    <s v="LAT:-13.0088,LON:-72.621"/>
    <n v="8.5"/>
    <n v="6"/>
    <s v="SI"/>
    <s v="SI"/>
    <s v="SI"/>
    <n v="4"/>
    <s v="SI"/>
    <s v="SI"/>
    <s v="recurrente"/>
  </r>
  <r>
    <n v="48"/>
    <s v="Cusco "/>
    <x v="0"/>
    <s v="Echarate"/>
    <s v="Sector Chaupinayoc"/>
    <x v="1"/>
    <s v="velasquez cucchi Bianca"/>
    <n v="39"/>
    <s v="F"/>
    <n v="2000"/>
    <n v="43155501"/>
    <n v="45381"/>
    <n v="45749"/>
    <s v="Capital de Trabajo "/>
    <s v="Café, Cacao y Frutales "/>
    <s v="microempresa"/>
    <n v="0.3448"/>
    <s v="LAT:-12.71065, LON:-72.4877"/>
    <n v="1.5"/>
    <n v="1.5"/>
    <s v="SI"/>
    <s v="SI"/>
    <s v="SI"/>
    <n v="5"/>
    <s v="SI"/>
    <s v="SI"/>
    <s v="recurrente"/>
  </r>
  <r>
    <n v="49"/>
    <s v="Cusco "/>
    <x v="0"/>
    <s v="Echarate"/>
    <s v="Palmayoc Sector soccoschayoc"/>
    <x v="1"/>
    <s v="Ancco Palomino Celsa"/>
    <n v="58"/>
    <s v="F"/>
    <n v="3000"/>
    <n v="24956468"/>
    <n v="45376"/>
    <n v="45736"/>
    <s v="Capital de Trabajo "/>
    <s v="Café, Cacao y Frutales "/>
    <s v="microempresa"/>
    <n v="0.33700000000000002"/>
    <s v="LAT:-12.59135, LON:-72.6624"/>
    <n v="2"/>
    <n v="2"/>
    <s v="SI"/>
    <s v="SI"/>
    <s v="SI"/>
    <n v="20"/>
    <s v="SI"/>
    <s v="SI"/>
    <s v="nuevo"/>
  </r>
  <r>
    <n v="50"/>
    <s v="Cusco "/>
    <x v="0"/>
    <s v="Echarate"/>
    <s v="anexo Chayña Puerto"/>
    <x v="1"/>
    <s v="Gamboa Enriquez Bernardino"/>
    <n v="62"/>
    <s v="M"/>
    <n v="2000"/>
    <n v="24950610"/>
    <n v="45387"/>
    <n v="45747"/>
    <s v="Capital de Trabajo "/>
    <s v="Café, Cacao y Frutales "/>
    <s v="microempresa"/>
    <n v="0.3448"/>
    <s v="LAT:-12.68395,LON:-72.544"/>
    <n v="2"/>
    <n v="2"/>
    <s v="SI"/>
    <s v="SI"/>
    <s v="SI"/>
    <n v="10"/>
    <s v="SI"/>
    <s v="SI"/>
    <s v="nuevo"/>
  </r>
  <r>
    <n v="51"/>
    <s v="Cusco "/>
    <x v="0"/>
    <s v="Quellouno"/>
    <s v="sector sata rosa"/>
    <x v="1"/>
    <s v="Vega Canlla Yari"/>
    <n v="37"/>
    <s v="F"/>
    <n v="3000"/>
    <n v="44595061"/>
    <n v="45394"/>
    <n v="45755"/>
    <s v="Capital de Trabajo "/>
    <s v="Café, Cacao y Frutales "/>
    <s v="microempresa"/>
    <n v="0.33700000000000002"/>
    <s v="LAT.-12.6536, LON:-72.4433"/>
    <n v="2"/>
    <n v="2"/>
    <s v="SI"/>
    <s v="SI"/>
    <s v="SI"/>
    <n v="5"/>
    <s v="SI"/>
    <s v="SI"/>
    <s v="recurrente"/>
  </r>
  <r>
    <n v="52"/>
    <s v="Cusco "/>
    <x v="0"/>
    <s v="Quellouno"/>
    <s v="sector Yavero Chico"/>
    <x v="1"/>
    <s v="Escobar Carhuaslla Beatriz"/>
    <n v="29"/>
    <s v="F"/>
    <n v="500"/>
    <n v="77668223"/>
    <n v="45430"/>
    <n v="45614"/>
    <s v="Capital de Trabajo "/>
    <s v="Café, Cacao y Frutales "/>
    <s v="microempresa"/>
    <n v="0.434"/>
    <s v="LAT:-12.77375555, LON:-72.6705336"/>
    <n v="5"/>
    <n v="4"/>
    <s v="SI"/>
    <s v="SI"/>
    <s v="SI"/>
    <n v="4"/>
    <s v="SI"/>
    <s v="SI"/>
    <s v="recurrente"/>
  </r>
  <r>
    <n v="53"/>
    <s v="Cusco "/>
    <x v="0"/>
    <s v="Quellouno"/>
    <s v="Sector lorohuachana alto"/>
    <x v="1"/>
    <s v="Escobedo Valenzuela Yamil Brahan"/>
    <n v="24"/>
    <s v="M"/>
    <n v="6000"/>
    <n v="60202811"/>
    <n v="45433"/>
    <n v="45793"/>
    <s v="Capital de Trabajo "/>
    <s v="Café, Cacao y Frutales "/>
    <s v="microempresa"/>
    <n v="0.32140000000000002"/>
    <s v="LAT:-12.59899197,LON:-72.53308441"/>
    <n v="10"/>
    <n v="9"/>
    <s v="SI"/>
    <s v="SI"/>
    <s v="SI"/>
    <n v="5"/>
    <s v="SI"/>
    <s v="SI"/>
    <s v="recurrente"/>
  </r>
  <r>
    <n v="54"/>
    <s v="Cusco "/>
    <x v="0"/>
    <s v="Huayopata"/>
    <s v="Zona Chonta"/>
    <x v="1"/>
    <s v="Saire Farfan Washington"/>
    <n v="64"/>
    <s v="M"/>
    <n v="5000"/>
    <n v="23918813"/>
    <n v="45059"/>
    <n v="45609"/>
    <s v="Capital de Trabajo "/>
    <s v="Café, Cacao y Frutales "/>
    <s v="microempresa"/>
    <n v="0.22409999999999999"/>
    <s v="LAT:-13.62258841,LON:-72.54998739"/>
    <n v="10"/>
    <n v="9"/>
    <s v="SI"/>
    <s v="SI"/>
    <s v="SI"/>
    <n v="20"/>
    <s v="SI"/>
    <s v="SI"/>
    <s v="recurrente"/>
  </r>
  <r>
    <n v="55"/>
    <s v="Cusco "/>
    <x v="0"/>
    <s v="Huayopata"/>
    <s v="Zona Alfamayo"/>
    <x v="1"/>
    <s v="Serrano Alfaro Edie Yamil"/>
    <n v="32"/>
    <s v="M"/>
    <n v="2500"/>
    <n v="47095849"/>
    <n v="45421"/>
    <n v="45786"/>
    <s v="Capital de Trabajo "/>
    <s v="Café, Cacao y Frutales "/>
    <s v="microempresa"/>
    <n v="0.3448"/>
    <s v="LAT:-12.8335504, LON:-72.66141491"/>
    <n v="7"/>
    <n v="6"/>
    <s v="SI"/>
    <s v="SI"/>
    <s v="SI"/>
    <n v="7"/>
    <s v="SI"/>
    <s v="SI"/>
    <s v="recurrente"/>
  </r>
  <r>
    <n v="56"/>
    <s v="Cusco "/>
    <x v="0"/>
    <s v="Quellouno"/>
    <s v="Zona Achupallayoc"/>
    <x v="1"/>
    <s v="Roman  Quispe Cristobal "/>
    <n v="53"/>
    <s v="M"/>
    <n v="4000"/>
    <n v="24997845"/>
    <n v="45411"/>
    <n v="45785"/>
    <s v="Capital de Trabajo "/>
    <s v="Café, Cacao y Frutales "/>
    <s v="microempresa"/>
    <n v="0.33700000000000002"/>
    <s v="LAT:-12.77710678,LON:-72.59974897"/>
    <n v="10"/>
    <n v="5"/>
    <s v="SI"/>
    <s v="SI"/>
    <s v="SI"/>
    <n v="12"/>
    <s v="SI"/>
    <s v="SI"/>
    <s v="recurrente"/>
  </r>
  <r>
    <n v="57"/>
    <s v="Cusco "/>
    <x v="0"/>
    <s v="Santa Ana"/>
    <s v="Sector Huaynay alta"/>
    <x v="1"/>
    <s v="Noa Checca Alejandrina "/>
    <n v="55"/>
    <s v="F"/>
    <n v="500"/>
    <n v="24992152"/>
    <n v="45412"/>
    <n v="45599"/>
    <s v="Capital de Trabajo "/>
    <s v="Café, Cacao y Frutales "/>
    <s v="microempresa"/>
    <n v="0.60650000000000004"/>
    <s v="LAT:-12.73326781,LON:-72.5727357"/>
    <n v="7"/>
    <n v="3"/>
    <s v="SI"/>
    <s v="SI"/>
    <s v="SI"/>
    <n v="15"/>
    <s v="SI"/>
    <s v="SI"/>
    <s v="recurrente"/>
  </r>
  <r>
    <n v="58"/>
    <s v="Cusco "/>
    <x v="0"/>
    <s v="Echarate"/>
    <s v="Echarate"/>
    <x v="1"/>
    <s v="Rimayhuaman Yupanqui Victoria"/>
    <n v="61"/>
    <s v="F"/>
    <n v="2000"/>
    <n v="24944112"/>
    <n v="45369"/>
    <n v="45734"/>
    <s v="Capital de Trabajo "/>
    <s v="Café, Cacao y Frutales "/>
    <s v="microempresa"/>
    <n v="0.3448"/>
    <s v="LAT:-12.77378278,LON:-72.67051751"/>
    <n v="10"/>
    <n v="5"/>
    <s v="SI"/>
    <s v="SI"/>
    <s v="SI"/>
    <n v="20"/>
    <s v="SI"/>
    <s v="SI"/>
    <s v="recurrente"/>
  </r>
  <r>
    <n v="59"/>
    <s v="Cusco "/>
    <x v="0"/>
    <s v="Santa Ana"/>
    <s v="Zona Belen Pata"/>
    <x v="1"/>
    <s v="Viza Quispe Escolastica"/>
    <n v="61"/>
    <s v="F"/>
    <n v="1000"/>
    <n v="25212083"/>
    <n v="45420"/>
    <n v="45784"/>
    <s v="Capital de Trabajo "/>
    <s v="Café, Cacao y Frutales "/>
    <s v="microempresa"/>
    <n v="0.3448"/>
    <s v="LAT:-1277657488,LON:-72.66837472"/>
    <n v="5"/>
    <n v="3"/>
    <s v="SI"/>
    <s v="SI"/>
    <s v="SI"/>
    <n v="25"/>
    <s v="SI"/>
    <s v="SI"/>
    <s v="recurrente"/>
  </r>
  <r>
    <n v="60"/>
    <s v="Cusco "/>
    <x v="0"/>
    <s v="Quellouno"/>
    <s v="Yavero Chico"/>
    <x v="1"/>
    <s v="Bellido Hancco Manuel Alfredo"/>
    <n v="43"/>
    <s v="M"/>
    <n v="4000"/>
    <n v="43116798"/>
    <n v="45411"/>
    <n v="45606"/>
    <s v="Capital de Trabajo "/>
    <s v="Café, Cacao y Frutales "/>
    <s v="microempresa"/>
    <n v="0.33700000000000002"/>
    <s v="LAT:-12.66481738,LON:-72.64438066"/>
    <n v="10"/>
    <n v="6"/>
    <s v="SI"/>
    <s v="SI"/>
    <s v="SI"/>
    <n v="10"/>
    <s v="SI"/>
    <s v="SI"/>
    <s v="recurrente"/>
  </r>
  <r>
    <n v="61"/>
    <s v="Cusco "/>
    <x v="0"/>
    <s v="Echarate"/>
    <s v="Sector de Ivanqui Palma Real"/>
    <x v="1"/>
    <s v="Manaccasa Ttito Juan Carlos"/>
    <n v="40"/>
    <s v="M"/>
    <n v="30000"/>
    <n v="42532850"/>
    <n v="45421"/>
    <n v="45421"/>
    <s v="Capital de Trabajo "/>
    <s v="Café, Cacao y Frutales "/>
    <s v="microempresa"/>
    <n v="0.35270000000000001"/>
    <s v="LAT.:-12.5912 , LON:-72.7237"/>
    <n v="4"/>
    <n v="3"/>
    <s v="SI"/>
    <s v="SI"/>
    <s v="SI"/>
    <n v="10"/>
    <s v="SI"/>
    <s v="SI"/>
    <s v="recurrente"/>
  </r>
  <r>
    <n v="62"/>
    <s v="Cusco "/>
    <x v="0"/>
    <s v="Santa Ana"/>
    <s v="Sector Cocabambilla "/>
    <x v="1"/>
    <s v="KELLY Fernandez Challco"/>
    <n v="26"/>
    <s v="F"/>
    <n v="18000"/>
    <n v="74495335"/>
    <n v="45443"/>
    <n v="45992"/>
    <s v="Capital de Trabajo "/>
    <s v="Café, Cacao y Frutales "/>
    <s v="microempresa"/>
    <n v="0.2908"/>
    <s v="LAT:-12.6154073, LON:-72.5502189"/>
    <n v="5"/>
    <n v="3"/>
    <s v="SI"/>
    <s v="SI"/>
    <s v="SI"/>
    <n v="5"/>
    <s v="SI"/>
    <s v="SI"/>
    <s v="recurrente"/>
  </r>
  <r>
    <n v="63"/>
    <s v="Cusco "/>
    <x v="0"/>
    <s v="Echarate"/>
    <s v="Centro poblado Ivochote"/>
    <x v="1"/>
    <s v="ALVIZ QUISPE RENE "/>
    <n v="42"/>
    <s v="M"/>
    <n v="500"/>
    <n v="43131818"/>
    <n v="45457"/>
    <n v="45640"/>
    <s v="Capital de Trabajo "/>
    <s v="Café, Cacao y Frutales "/>
    <s v="microempresa"/>
    <n v="0.59179999999999999"/>
    <s v="LAT:-12.63693538, LON:-72.71498407"/>
    <n v="6"/>
    <n v="5"/>
    <s v="SI"/>
    <s v="SI"/>
    <s v="SI"/>
    <n v="6"/>
    <s v="SI"/>
    <s v="SI"/>
    <s v="nuevo"/>
  </r>
  <r>
    <n v="64"/>
    <s v="Cusco "/>
    <x v="0"/>
    <s v="Santa Ana"/>
    <s v="sector de sarahuasi"/>
    <x v="1"/>
    <s v="RENE HUAMANHUILLCA BAEZ "/>
    <m/>
    <m/>
    <n v="2000"/>
    <n v="78108111"/>
    <n v="45460"/>
    <n v="45825"/>
    <s v="Capital de Trabajo "/>
    <s v="Café, Cacao y Frutales "/>
    <s v="microempresa"/>
    <m/>
    <s v="LAT:12.64320748, LON:- 72.70878094"/>
    <n v="8"/>
    <n v="5"/>
    <s v="SI"/>
    <s v="SI"/>
    <s v="SI"/>
    <n v="20"/>
    <s v="SI"/>
    <s v="SI"/>
    <s v="nuevo"/>
  </r>
  <r>
    <n v="65"/>
    <s v="Cusco "/>
    <x v="0"/>
    <s v="Quellouno"/>
    <s v="Lorohuachana alta"/>
    <x v="1"/>
    <s v="Caviedes Ceballos Florentina"/>
    <n v="67"/>
    <s v="F"/>
    <n v="2000"/>
    <n v="23972050"/>
    <n v="45446"/>
    <n v="45811"/>
    <s v="Capital de Trabajo "/>
    <s v="Café, Cacao y Frutales "/>
    <s v="microempresa"/>
    <n v="0.52510000000000001"/>
    <s v="LAT:-12.59902203,LON:-72.53311023"/>
    <n v="4"/>
    <n v="3"/>
    <s v="SI"/>
    <s v="SI"/>
    <s v="SI"/>
    <n v="20"/>
    <s v="SI"/>
    <s v="SI"/>
    <s v="recurrente"/>
  </r>
  <r>
    <n v="66"/>
    <s v="Cusco "/>
    <x v="0"/>
    <s v="Santa Ana"/>
    <s v="Centro Poblado Illapani Palma Real"/>
    <x v="1"/>
    <s v="Sicos Pacheco Lucy"/>
    <n v="38"/>
    <s v="F"/>
    <n v="25000"/>
    <n v="43853139"/>
    <n v="45491"/>
    <n v="46191"/>
    <s v="Capital de Trabajo "/>
    <s v="frutas, café "/>
    <s v="microempresa"/>
    <n v="0.2712"/>
    <s v="LAT:-12.6188559, LON:-72.81180211"/>
    <n v="10"/>
    <n v="5"/>
    <s v="SI"/>
    <s v="SI"/>
    <s v="SI"/>
    <n v="8"/>
    <s v="SI"/>
    <s v="SI"/>
    <s v="recurrente"/>
  </r>
  <r>
    <n v="67"/>
    <s v="Cusco "/>
    <x v="0"/>
    <s v="Echarate"/>
    <s v="Centro Poblado Illapani Palma Real"/>
    <x v="1"/>
    <s v="Escalante Banda Eva"/>
    <n v="33"/>
    <s v="F"/>
    <n v="3000"/>
    <n v="47496076"/>
    <n v="45456"/>
    <n v="45823"/>
    <s v="Capital de Trabajo "/>
    <s v="Café, Cacao y Frutales "/>
    <s v="microempresa"/>
    <n v="0.40010000000000001"/>
    <s v="LAT:-12.65235857,LON:-72.72332233"/>
    <n v="6"/>
    <n v="5"/>
    <s v="SI"/>
    <s v="SI"/>
    <s v="SI"/>
    <n v="5"/>
    <s v="SI"/>
    <s v="SI"/>
    <s v="nuevo"/>
  </r>
  <r>
    <n v="68"/>
    <s v="Cusco "/>
    <x v="0"/>
    <s v="Santa Ana"/>
    <s v="Sector de sahuayaco"/>
    <x v="1"/>
    <s v="Pineda Garcia Lennin"/>
    <n v="21"/>
    <s v="M"/>
    <n v="5000"/>
    <n v="73423080"/>
    <n v="45460"/>
    <n v="45820"/>
    <s v="Capital de Trabajo "/>
    <s v="citricos, café"/>
    <s v="microempresa"/>
    <n v="0.33229999999999998"/>
    <s v="LAT:-12.41505632,LON:-72.312151"/>
    <n v="8"/>
    <n v="6"/>
    <s v="SI"/>
    <s v="SI"/>
    <s v="SI"/>
    <n v="2"/>
    <s v="SI"/>
    <s v="SI"/>
    <s v="nuevo"/>
  </r>
  <r>
    <n v="69"/>
    <s v="Cusco "/>
    <x v="0"/>
    <s v="Santa Ana"/>
    <s v="Sector Calca Pampa"/>
    <x v="1"/>
    <s v="Leoncio Ccapatinta Aguirre"/>
    <n v="71"/>
    <s v="M"/>
    <n v="20000"/>
    <n v="24983118"/>
    <n v="45463"/>
    <n v="45823"/>
    <s v="Capital de Trabajo "/>
    <s v="Café, Cacao y Frutales "/>
    <s v="microempresa"/>
    <n v="0.2802"/>
    <s v="LAT:-12.63693538,LON:-72.7149840"/>
    <n v="7"/>
    <n v="3"/>
    <s v="SI"/>
    <s v="SI"/>
    <s v="SI"/>
    <n v="40"/>
    <s v="SI"/>
    <s v="SI"/>
    <s v="recurrente"/>
  </r>
  <r>
    <n v="70"/>
    <s v="Cusco "/>
    <x v="0"/>
    <s v="Echarate"/>
    <s v="URB. NUEVO AMANECER - PALMA REAL"/>
    <x v="1"/>
    <s v="Ernestina llano Quispe"/>
    <n v="46"/>
    <s v="F"/>
    <n v="15000"/>
    <n v="40274394"/>
    <n v="45460"/>
    <n v="46008"/>
    <s v="Capital de Trabajo "/>
    <s v="Café, Cacao y Frutales "/>
    <s v="microempresa"/>
    <n v="0.42409999999999998"/>
    <s v="LAT:-12.59902975, LON:-72.53315332"/>
    <n v="4"/>
    <n v="4"/>
    <s v="SI"/>
    <s v="SI"/>
    <s v="SI"/>
    <n v="15"/>
    <s v="SI"/>
    <s v="SI"/>
    <s v="recurrente"/>
  </r>
  <r>
    <n v="71"/>
    <s v="Cusco "/>
    <x v="0"/>
    <s v="Echarate"/>
    <s v="cesar vallejo anexo"/>
    <x v="1"/>
    <s v="Marcelina Lima Nuñez"/>
    <n v="58"/>
    <s v="F"/>
    <n v="20000"/>
    <n v="25060013"/>
    <n v="45468"/>
    <n v="46199"/>
    <s v="Capital de Trabajo "/>
    <s v="Café, Cacao y Frutales "/>
    <s v="microempresa"/>
    <n v="0.39119999999999999"/>
    <s v="LAT:-12.8990574, LON:-72.75070091"/>
    <n v="9"/>
    <n v="6"/>
    <s v="SI"/>
    <s v="SI"/>
    <s v="SI"/>
    <n v="20"/>
    <s v="SI"/>
    <s v="SI"/>
    <s v="recurrente"/>
  </r>
  <r>
    <n v="72"/>
    <s v="Cusco "/>
    <x v="0"/>
    <s v="Echarate"/>
    <s v="sector Chayña puerto"/>
    <x v="1"/>
    <s v="Enriquez Espinoza Raul"/>
    <n v="51"/>
    <s v="M"/>
    <n v="5000"/>
    <n v="24993979"/>
    <n v="45467"/>
    <n v="45827"/>
    <s v="Capital de Trabajo "/>
    <s v="Café, Cacao y Frutales "/>
    <s v="microempresa"/>
    <n v="0.33229999999999998"/>
    <s v="LAT:-12.89792536,LON:-72.7616069"/>
    <n v="7"/>
    <n v="5"/>
    <s v="SI"/>
    <s v="SI"/>
    <s v="SI"/>
    <n v="20"/>
    <s v="SI"/>
    <s v="SI"/>
    <s v="recurrente"/>
  </r>
  <r>
    <n v="73"/>
    <s v="Cusco "/>
    <x v="0"/>
    <s v="Echarate"/>
    <s v="Sector Esperanza"/>
    <x v="1"/>
    <s v="Lucana Nuñez Augusta"/>
    <n v="68"/>
    <s v="F"/>
    <n v="35000"/>
    <n v="23953459"/>
    <n v="45467"/>
    <n v="46197"/>
    <s v="Capital de Trabajo "/>
    <s v="Café, Cacao y Frutales "/>
    <s v="microempresa"/>
    <n v="0.246"/>
    <s v="LAT:-12.66508472,LON:-72.6430579"/>
    <n v="6"/>
    <n v="3"/>
    <s v="SI"/>
    <s v="SI"/>
    <s v="SI"/>
    <n v="20"/>
    <s v="SI"/>
    <s v="SI"/>
    <s v="recurrente"/>
  </r>
  <r>
    <n v="74"/>
    <s v="Cusco "/>
    <x v="0"/>
    <s v="Maranura"/>
    <s v="sector chaullay bajo"/>
    <x v="1"/>
    <s v="Huaman Llancay Yasmina"/>
    <n v="37"/>
    <s v="F"/>
    <n v="500"/>
    <n v="44626357"/>
    <n v="45464"/>
    <n v="45650"/>
    <s v="Capital de Trabajo "/>
    <s v="Café, Cacao y Frutales "/>
    <s v="microempresa"/>
    <n v="0.52159999999999995"/>
    <s v="LAT:12.83355785S, LON:72.66142217"/>
    <n v="7"/>
    <n v="5"/>
    <s v="SI"/>
    <s v="SI"/>
    <s v="SI"/>
    <n v="20"/>
    <s v="SI"/>
    <s v="SI"/>
    <s v="nuevo"/>
  </r>
  <r>
    <n v="75"/>
    <s v="Cusco "/>
    <x v="0"/>
    <s v="Echarate"/>
    <s v="C.P Echarate"/>
    <x v="1"/>
    <s v="Bezaño Tarco Inocencia"/>
    <n v="55"/>
    <s v="F"/>
    <n v="13000"/>
    <n v="41259693"/>
    <n v="45457"/>
    <n v="45460"/>
    <s v="Capital de Trabajo "/>
    <s v="Café, Cacao y Frutales "/>
    <s v="microempresa"/>
    <n v="0.42409999999999998"/>
    <s v="LAT:-12.54558258,LON:-72.66544759"/>
    <n v="4"/>
    <n v="3"/>
    <s v="SI"/>
    <s v="SI"/>
    <s v="SI"/>
    <n v="15"/>
    <s v="SI"/>
    <s v="SI"/>
    <s v="recurrente"/>
  </r>
  <r>
    <n v="76"/>
    <s v="Cusco "/>
    <x v="0"/>
    <s v="Echarate"/>
    <s v="SECTOR SANTA ISABEL"/>
    <x v="1"/>
    <s v="ROMAN SERRUDO ANGELICA"/>
    <n v="63"/>
    <s v="F"/>
    <n v="13000"/>
    <n v="24940102"/>
    <n v="45523"/>
    <s v="24 MESES"/>
    <s v="CAPITAL DE TRABAJO"/>
    <s v="PRODUCCION DE CAFÉ"/>
    <s v="microempresa"/>
    <n v="0.42530000000000001"/>
    <s v="LAT:-12.6584652 LON: -72.7452253"/>
    <n v="3"/>
    <n v="2"/>
    <s v="SI"/>
    <s v="SI"/>
    <s v="SI"/>
    <n v="10"/>
    <s v="SI"/>
    <s v="SI"/>
    <s v="recurrente"/>
  </r>
  <r>
    <n v="77"/>
    <s v="Cusco "/>
    <x v="0"/>
    <s v="Santa Teresa"/>
    <s v="Santa Teresa"/>
    <x v="1"/>
    <s v="MAMANI LABRA APARICIO"/>
    <n v="44"/>
    <s v="M"/>
    <n v="10000"/>
    <n v="44471923"/>
    <n v="45526"/>
    <s v="18 MESES"/>
    <s v="CAPITAL DE TRABAJO"/>
    <s v="PRODUCCION DE CAFÉ"/>
    <s v="microempresa"/>
    <n v="0.39279999999999998"/>
    <s v="LAT:-12.6568104 LON:-72.74546603"/>
    <n v="4"/>
    <n v="2"/>
    <s v="SI"/>
    <s v="SI"/>
    <s v="SI"/>
    <n v="12"/>
    <s v="SI"/>
    <s v="SI"/>
    <s v="recurrente"/>
  </r>
  <r>
    <n v="78"/>
    <s v="Cusco "/>
    <x v="0"/>
    <s v="Echarate"/>
    <s v="PALMA REAL"/>
    <x v="1"/>
    <s v="CHAVEZ LAGUNA ROBERTO"/>
    <n v="56"/>
    <s v="M"/>
    <n v="10000"/>
    <n v="24993083"/>
    <n v="45524"/>
    <s v="12 MESES"/>
    <s v="CAPITAL DE TRABAJO"/>
    <s v="PRODUCCION DE CAFÉ Y CACAO"/>
    <s v="microempresa"/>
    <n v="0.32919999999999999"/>
    <s v="LAT:-12.65689745 LON:-72.7421371"/>
    <n v="10"/>
    <n v="3"/>
    <s v="SI"/>
    <s v="SI"/>
    <s v="SI"/>
    <n v="20"/>
    <s v="SI"/>
    <s v="SI"/>
    <s v="recurrente"/>
  </r>
  <r>
    <n v="79"/>
    <s v="Cusco "/>
    <x v="0"/>
    <s v="Echarate"/>
    <s v="AGUA DULCE"/>
    <x v="1"/>
    <s v="DEYVIS TELLO GRANDEZ"/>
    <n v="32"/>
    <s v="M"/>
    <n v="5000"/>
    <n v="47755054"/>
    <n v="45519"/>
    <s v="12 MESES"/>
    <s v="CAPITAL DE TRABAJO"/>
    <s v="PRODUCCION DE CAFÉ Y CACAO"/>
    <s v="microempresa"/>
    <n v="0.33229999999999998"/>
    <s v="LAT:-12.67017769 LON:-72.6466463"/>
    <n v="6"/>
    <n v="3"/>
    <s v="SI"/>
    <s v="SI"/>
    <s v="SI"/>
    <n v="10"/>
    <s v="SI"/>
    <s v="SI"/>
    <s v="nuevo"/>
  </r>
  <r>
    <n v="80"/>
    <s v="Cusco "/>
    <x v="1"/>
    <s v="Yanatile"/>
    <s v="Quebrada Honda "/>
    <x v="2"/>
    <s v="CACERES ESPINOZA MELCHORA "/>
    <n v="49"/>
    <s v="F"/>
    <n v="50000"/>
    <n v="24489991"/>
    <n v="45524"/>
    <s v="48 MESES"/>
    <s v="Activo Fijo"/>
    <s v="PRODUCCION DE CAFÉ Y CACAO"/>
    <s v="microempresa"/>
    <n v="0.28320000000000001"/>
    <s v="LAT:-12.661928 LON:-72.307510"/>
    <n v="7"/>
    <n v="4"/>
    <s v="SI"/>
    <s v="SI"/>
    <s v="SI"/>
    <n v="20"/>
    <s v="SI"/>
    <s v="SI"/>
    <s v="recurrente"/>
  </r>
  <r>
    <n v="81"/>
    <s v="Cusco "/>
    <x v="0"/>
    <s v="Echarate"/>
    <s v="KITENI"/>
    <x v="3"/>
    <s v="HUISA OJEDA JUSTINIANO"/>
    <n v="65"/>
    <s v="M"/>
    <n v="5000"/>
    <n v="24955893"/>
    <n v="45544"/>
    <s v="18 MESES"/>
    <s v="Activo Fijo"/>
    <s v="PRODUCCION DE CAFÉ Y CACAO"/>
    <s v="microempresa"/>
    <n v="0.40920000000000001"/>
    <s v="LAT:-12.626323 LON:-73.029689"/>
    <n v="10"/>
    <n v="4"/>
    <s v="SI"/>
    <s v="SI"/>
    <s v="SI"/>
    <n v="25"/>
    <s v="SI"/>
    <s v="SI"/>
    <s v="recurrente"/>
  </r>
  <r>
    <n v="82"/>
    <s v="Cusco "/>
    <x v="0"/>
    <s v="Echarate"/>
    <s v="KITENI"/>
    <x v="3"/>
    <s v="HUISA VEGA MARUJA"/>
    <n v="35"/>
    <s v="M"/>
    <n v="5000"/>
    <n v="46140829"/>
    <n v="45548"/>
    <s v="12 MESES"/>
    <s v="CAPITAL DE TRABAJO"/>
    <s v="PRODUCCION DE CAFÉ Y CACAO"/>
    <s v="microempresa"/>
    <n v="0.39279999999999998"/>
    <s v="LAT:-12.629125 LON:-73.029887"/>
    <n v="8"/>
    <n v="5"/>
    <s v="SI"/>
    <s v="SI"/>
    <s v="SI"/>
    <n v="15"/>
    <s v="SI"/>
    <s v="SI"/>
    <s v="recurrente"/>
  </r>
  <r>
    <n v="83"/>
    <s v="Cusco "/>
    <x v="0"/>
    <s v="Echarate"/>
    <s v="SECTOR CALCAPAMPA"/>
    <x v="1"/>
    <s v="CCAPATINTA AGUIRRE LEONCIO"/>
    <n v="71"/>
    <s v="M"/>
    <n v="50000"/>
    <n v="24983118"/>
    <n v="45562"/>
    <s v="36 MESES"/>
    <s v="Activo Fijo"/>
    <s v="PRODUCCION DE CAFÉ Y CACAO"/>
    <s v="microempresa"/>
    <n v="0.2984"/>
    <s v="LAT:-13.13978523 LON:-72.60054519"/>
    <n v="5"/>
    <n v="7"/>
    <s v="SI"/>
    <s v="SI"/>
    <s v="SI"/>
    <n v="20"/>
    <s v="SI"/>
    <s v="SI"/>
    <s v="recurrente"/>
  </r>
  <r>
    <n v="84"/>
    <s v="Cusco "/>
    <x v="0"/>
    <s v="Quellouno"/>
    <s v="SECTOR DE CAMPANAYOC"/>
    <x v="1"/>
    <s v="CONTRERAS HUAMAN JOSEPH SHEDDY"/>
    <n v="33"/>
    <s v="M"/>
    <n v="20000"/>
    <n v="70554844"/>
    <n v="45556"/>
    <s v="36 MESES"/>
    <s v="Activo Fijo"/>
    <s v="PRODUCCION DE CAFÉ Y CACAO"/>
    <s v="microempresa"/>
    <n v="0.29530000000000001"/>
    <s v="LAT:-12.88569131 LON:-72.73077122"/>
    <n v="5"/>
    <n v="4"/>
    <s v="SI"/>
    <s v="SI"/>
    <s v="SI"/>
    <n v="10"/>
    <s v="SI"/>
    <s v="SI"/>
    <s v="nuevo"/>
  </r>
  <r>
    <n v="85"/>
    <s v="Cusco "/>
    <x v="0"/>
    <s v="Kiteni"/>
    <s v="SECTOR KAPASHIARI"/>
    <x v="3"/>
    <s v="CACERES ARIAS ERASMO"/>
    <n v="51"/>
    <s v="M"/>
    <n v="5000"/>
    <n v="31028981"/>
    <n v="45566"/>
    <s v="6 MESES"/>
    <s v="CAPITAL DE TRABAJO"/>
    <s v="PRODUCCION DE CAFÉ Y CACAO"/>
    <s v="microempresa"/>
    <n v="0.39280000000000004"/>
    <s v="LAT:-12.62906982 LON:-72.84959239"/>
    <n v="4"/>
    <n v="4"/>
    <s v="SI"/>
    <s v="SI"/>
    <s v="SI"/>
    <n v="20"/>
    <s v="SI"/>
    <s v="SI"/>
    <s v="nuevo"/>
  </r>
  <r>
    <n v="86"/>
    <s v="Cusco "/>
    <x v="0"/>
    <s v="ocobamba"/>
    <s v="SECTOR OTUMA"/>
    <x v="2"/>
    <s v="BOCANGEL PUMACAYO RICARDO"/>
    <n v="57"/>
    <s v="M"/>
    <n v="10000"/>
    <n v="23952827"/>
    <n v="45549"/>
    <s v="30 MESES"/>
    <s v="CAPITAL DE TRABAJO"/>
    <s v="PRODUCCION DE CAFÉ Y CACAO"/>
    <s v="microempresa"/>
    <n v="0.2984"/>
    <s v="LAT:-12.8946 LON:-72.4123766"/>
    <n v="5"/>
    <n v="5"/>
    <s v="SI"/>
    <s v="SI"/>
    <s v="SI"/>
    <n v="25"/>
    <s v="SI"/>
    <s v="SI"/>
    <s v="nuevo"/>
  </r>
  <r>
    <n v="87"/>
    <s v="Cusco "/>
    <x v="0"/>
    <s v="Echarate"/>
    <s v="SECTOR PICHARI MARGEN IZQUIERDA"/>
    <x v="3"/>
    <s v="RUTH MERY QUISPE ALEJANDRO"/>
    <n v="33"/>
    <s v="F"/>
    <n v="25000"/>
    <n v="47162683"/>
    <n v="45595"/>
    <s v="3 MESES"/>
    <s v="CAPITAL DE TRABAJO"/>
    <s v="PRODUCCION DE CAFÉ Y CACAO"/>
    <s v="microempresa"/>
    <n v="0.2742"/>
    <s v="LAT:-12.449820 LON:-72.868243"/>
    <n v="6"/>
    <n v="5"/>
    <s v="SI"/>
    <s v="SI"/>
    <s v="SI"/>
    <n v="10"/>
    <s v="SI"/>
    <s v="SI"/>
    <s v="recurrente"/>
  </r>
  <r>
    <n v="88"/>
    <s v="Cusco "/>
    <x v="0"/>
    <s v="Maranura"/>
    <s v="SECTOR CHAULLAY ALTO "/>
    <x v="1"/>
    <s v="HUMBERTO HUALLPACUNA CONSA"/>
    <n v="66"/>
    <s v="M"/>
    <n v="3000"/>
    <n v="24940202"/>
    <n v="45575"/>
    <s v="12 MESES"/>
    <s v="CAPITAL DE TRABAJO"/>
    <s v="PRODUCCION DE CAFÉ Y CACAO"/>
    <s v="microempresa"/>
    <n v="0.32919999999999999"/>
    <s v="LAT:-12.9965 LON:-72.6234"/>
    <n v="20"/>
    <n v="10"/>
    <s v="SI"/>
    <s v="SI"/>
    <s v="SI"/>
    <n v="20"/>
    <s v="SI"/>
    <s v="SI"/>
    <s v="recurrente"/>
  </r>
  <r>
    <n v="89"/>
    <s v="Cusco "/>
    <x v="0"/>
    <s v="Kiteni"/>
    <s v="SECTOR KAMUNASHIARI S/N"/>
    <x v="3"/>
    <s v="OBANDO SANCHEZ JAVIER"/>
    <n v="46"/>
    <s v="M"/>
    <n v="20000"/>
    <n v="80118408"/>
    <n v="45575"/>
    <s v="24 MESES"/>
    <s v="CAPITAL DE TRABAJO"/>
    <s v="PRODUCCION DE CAFÉ Y CACAO"/>
    <s v="microempresa"/>
    <n v="0.42570000000000002"/>
    <s v="LAT:-12.643475 LON:-73.017681"/>
    <n v="10"/>
    <n v="5"/>
    <s v="SI"/>
    <s v="SI"/>
    <s v="SI"/>
    <n v="15"/>
    <s v="SI"/>
    <s v="SI"/>
    <s v="recurrente"/>
  </r>
  <r>
    <n v="90"/>
    <s v="Cusco "/>
    <x v="0"/>
    <s v="Echarate"/>
    <s v="KEPASHIATO-CIGAQUIATO"/>
    <x v="3"/>
    <s v="CHIRINOS PEÑA LIVIA"/>
    <n v="60"/>
    <s v="F"/>
    <n v="2000"/>
    <n v="23884537"/>
    <n v="45575"/>
    <s v="12 MESES"/>
    <s v="CAPITAL DE TRABAJO"/>
    <s v="PRODUCCION DE CAFÉ Y CACAO"/>
    <s v="microempresa"/>
    <n v="0.4763"/>
    <s v="LAT:-12.640893 LON:-73.196432"/>
    <n v="5"/>
    <n v="4"/>
    <s v="SI"/>
    <s v="SI"/>
    <s v="SI"/>
    <n v="20"/>
    <s v="SI"/>
    <s v="SI"/>
    <s v="nuevo"/>
  </r>
  <r>
    <n v="91"/>
    <s v="Cusco "/>
    <x v="0"/>
    <s v="Vilcabamba"/>
    <s v="RETAMAYOC"/>
    <x v="3"/>
    <s v="VILCA CACERES EULOGIO"/>
    <n v="63"/>
    <s v="M"/>
    <n v="2000"/>
    <n v="24286307"/>
    <n v="45574"/>
    <s v="12 MESES"/>
    <s v="CAPITAL DE TRABAJO"/>
    <s v="PRODUCCION DE CAFÉ Y CACAO"/>
    <s v="microempresa"/>
    <n v="0.4763"/>
    <s v="LAT:-12.830822 LON:-73.131670"/>
    <n v="9"/>
    <n v="3"/>
    <s v="SI"/>
    <s v="SI"/>
    <s v="SI"/>
    <n v="25"/>
    <s v="SI"/>
    <s v="SI"/>
    <s v="nuevo"/>
  </r>
  <r>
    <n v="92"/>
    <s v="Cusco "/>
    <x v="0"/>
    <s v="Quellouno"/>
    <s v="SECTOR DE ALTO PUTUCUSI"/>
    <x v="1"/>
    <s v="HUILLCA AYALA RAUL"/>
    <n v="53"/>
    <s v="M"/>
    <n v="6000"/>
    <n v="25004363"/>
    <n v="45553"/>
    <s v="13 MESES"/>
    <s v="CAPITAL DE TRABAJO"/>
    <s v="PRODUCCION DE CAFÉ Y CACAO"/>
    <s v="microempresa"/>
    <n v="0.33700000000000002"/>
    <s v="LAT:-12.64772742 LON:-72.4836289"/>
    <n v="5"/>
    <n v="5"/>
    <s v="SI"/>
    <s v="SI"/>
    <s v="SI"/>
    <n v="20"/>
    <s v="SI"/>
    <s v="SI"/>
    <s v="recurrente"/>
  </r>
  <r>
    <n v="93"/>
    <s v="Cusco "/>
    <x v="0"/>
    <s v="Quellouno"/>
    <s v="SECTOR SULLUCUTOC "/>
    <x v="1"/>
    <s v="VELASQUEZ PARHUAYO ELOY"/>
    <n v="27"/>
    <s v="M"/>
    <n v="5000"/>
    <n v="73478514"/>
    <n v="45553"/>
    <s v="12 MESES"/>
    <s v="CAPITAL DE TRABAJO"/>
    <s v="PRODUCCION DE CAFÉ Y CACAO"/>
    <s v="microempresa"/>
    <n v="0.39280000000000004"/>
    <s v="LAT:-12.64721881 LON:-72.61391403"/>
    <n v="3"/>
    <n v="3"/>
    <s v="SI"/>
    <s v="SI"/>
    <s v="SI"/>
    <n v="5"/>
    <s v="SI"/>
    <s v="SI"/>
    <s v="recurrente"/>
  </r>
  <r>
    <n v="94"/>
    <s v="Cusco "/>
    <x v="0"/>
    <s v="Quellouno"/>
    <s v="SECTOR ANCHIHUAY"/>
    <x v="1"/>
    <s v="CENTENO ÑAHUI DARCY"/>
    <n v="54"/>
    <s v="M"/>
    <n v="10000"/>
    <n v="24992099"/>
    <n v="45553"/>
    <s v="12 MESES"/>
    <s v="CAPITAL DE TRABAJO"/>
    <s v="PRODUCCION DE CAFÉ Y CACAO"/>
    <s v="microempresa"/>
    <n v="0.28770000000000001"/>
    <s v="LAT:-12.563441367 LON:-72.504217"/>
    <n v="7"/>
    <n v="5"/>
    <s v="SI"/>
    <s v="SI"/>
    <s v="SI"/>
    <n v="20"/>
    <s v="SI"/>
    <s v="SI"/>
    <s v="recurrente"/>
  </r>
  <r>
    <n v="95"/>
    <s v="Cusco "/>
    <x v="0"/>
    <s v="Echarate"/>
    <s v="PALMA REAL"/>
    <x v="1"/>
    <s v="MEJIA CCOLLANA ESTEBAN"/>
    <n v="47"/>
    <s v="M"/>
    <n v="45000"/>
    <n v="80679378"/>
    <n v="45638"/>
    <s v="36 MESES"/>
    <s v="Activo Fijo"/>
    <s v="PRODUCCION DE CAFÉ Y CACAO"/>
    <s v="Pequeña empresa"/>
    <n v="0.2742"/>
    <s v="LAT:-12.56445855 LON:-72.50302142"/>
    <n v="15"/>
    <n v="12"/>
    <s v="SI"/>
    <s v="SI"/>
    <s v="SI"/>
    <n v="25"/>
    <s v="SI"/>
    <s v="SI"/>
    <s v="recurrente"/>
  </r>
  <r>
    <n v="96"/>
    <s v="Cusco "/>
    <x v="0"/>
    <s v="Echarate"/>
    <s v="SECTOR PISTICA"/>
    <x v="1"/>
    <s v="CRUZ FARFAN ANGELICA"/>
    <n v="60"/>
    <s v="F"/>
    <n v="10000"/>
    <n v="24942684"/>
    <n v="45551"/>
    <s v="8 MESES"/>
    <s v="CAPITAL DE TRABAJO"/>
    <s v="PRODUCCION DE CAFÉ Y CACAO"/>
    <s v="microempresa"/>
    <n v="0.2802"/>
    <s v="LAT:-12.7754105 LON:-72.60240191"/>
    <n v="5"/>
    <n v="4"/>
    <s v="SI"/>
    <s v="SI"/>
    <s v="SI"/>
    <n v="30"/>
    <s v="SI"/>
    <s v="SI"/>
    <s v="recurrente"/>
  </r>
  <r>
    <n v="97"/>
    <s v="Cusco "/>
    <x v="0"/>
    <s v="Echarate"/>
    <s v="SECTOR CHACO ROSARIO"/>
    <x v="1"/>
    <s v="PINO MARTINEZ FRANCISCO"/>
    <n v="67"/>
    <s v="F"/>
    <n v="5000"/>
    <n v="24952156"/>
    <n v="45551"/>
    <s v="6 MESES"/>
    <s v="CAPITAL DE TRABAJO"/>
    <s v="PRODUCCION DE CAFÉ Y CACAO"/>
    <s v="microempresa"/>
    <n v="0.32140000000000002"/>
    <s v="LAT:-1264726102 LON:-72.61390676"/>
    <n v="6"/>
    <n v="4"/>
    <s v="SI"/>
    <s v="SI"/>
    <s v="SI"/>
    <n v="15"/>
    <s v="SI"/>
    <s v="SI"/>
    <s v="recurrente"/>
  </r>
  <r>
    <n v="98"/>
    <s v="Cusco "/>
    <x v="0"/>
    <s v="Echarate"/>
    <s v="SECTOR CONDORMOCO"/>
    <x v="1"/>
    <s v="ESPINOZA HUAMAN VILLENA FORTUNATA"/>
    <n v="56"/>
    <s v="F"/>
    <n v="15000"/>
    <n v="24988245"/>
    <n v="45548"/>
    <s v="6 MESES"/>
    <s v="CAPITAL DE TRABAJO"/>
    <s v="PRODUCCION DE CAFÉ Y CACAO"/>
    <s v="microempresa"/>
    <n v="0.2802"/>
    <s v="LAT:-12.6122723 LON:-72.59991534"/>
    <n v="8"/>
    <n v="8"/>
    <s v="SI"/>
    <s v="SI"/>
    <s v="SI"/>
    <n v="20"/>
    <s v="SI"/>
    <s v="SI"/>
    <s v="recurrente"/>
  </r>
  <r>
    <n v="99"/>
    <s v="Cusco "/>
    <x v="0"/>
    <s v="Echarate"/>
    <s v="PALMA REAL"/>
    <x v="1"/>
    <s v="LUNA OCHOA MARIO"/>
    <n v="66"/>
    <s v="M"/>
    <n v="2000"/>
    <n v="24952740"/>
    <n v="45547"/>
    <s v="12 MESES"/>
    <s v="CAPITAL DE TRABAJO"/>
    <s v="PRODUCCION DE CAFÉ Y CACAO"/>
    <s v="microempresa"/>
    <n v="0.4763"/>
    <s v="LAT:-12.772826 LON:-72.58795"/>
    <n v="4"/>
    <n v="3"/>
    <s v="SI"/>
    <s v="SI"/>
    <s v="SI"/>
    <n v="15"/>
    <s v="SI"/>
    <s v="SI"/>
    <s v="nuevo"/>
  </r>
  <r>
    <n v="100"/>
    <s v="Cusco "/>
    <x v="0"/>
    <s v="Echarate"/>
    <s v="PALMA REAL"/>
    <x v="1"/>
    <s v="ILLA AGUADO JULIO"/>
    <n v="44"/>
    <s v="M"/>
    <n v="2000"/>
    <n v="42680079"/>
    <n v="45547"/>
    <s v="6 MESES"/>
    <s v="CAPITAL DE TRABAJO"/>
    <s v="PRODUCCION DE CAFÉ Y CACAO"/>
    <s v="microempresa"/>
    <n v="0.4763"/>
    <s v="LAT:-12.61828261 LON:-72.81234866"/>
    <n v="4"/>
    <n v="4"/>
    <s v="SI"/>
    <s v="SI"/>
    <s v="SI"/>
    <n v="10"/>
    <s v="SI"/>
    <s v="SI"/>
    <s v="nuevo"/>
  </r>
  <r>
    <n v="101"/>
    <s v="Cusco "/>
    <x v="0"/>
    <s v="Echarate"/>
    <s v="SECTOR SANTA ISABEL"/>
    <x v="1"/>
    <s v="MUÑOZ ARADIVI RONAL"/>
    <n v="41"/>
    <s v="F"/>
    <n v="3000"/>
    <n v="41733890"/>
    <n v="45607"/>
    <s v="12 MESES"/>
    <s v="CAPITAL DE TRABAJO"/>
    <s v="PRODUCCION DE CAFÉ Y CACAO"/>
    <s v="microempresa"/>
    <n v="0.31369999999999998"/>
    <s v="LAT:-12.90758275 LON:-72.72589775"/>
    <n v="4"/>
    <n v="3"/>
    <s v="SI"/>
    <s v="SI"/>
    <s v="SI"/>
    <n v="12"/>
    <s v="SI"/>
    <s v="SI"/>
    <s v="recurrente"/>
  </r>
  <r>
    <n v="102"/>
    <s v="Cusco "/>
    <x v="0"/>
    <s v="Echarate"/>
    <s v="SECTOR OCCOPAMPA"/>
    <x v="1"/>
    <s v="HERRERA APAZA ELIZABETH"/>
    <n v="50"/>
    <s v="F"/>
    <n v="3000"/>
    <n v="24995754"/>
    <n v="45542"/>
    <s v="12 MESES"/>
    <s v="CAPITAL DE TRABAJO"/>
    <s v="PRODUCCION DE CAFÉ Y CACAO"/>
    <s v="microempresa"/>
    <n v="0.32919999999999999"/>
    <s v="LAT:-12.81889368 LON:-72.61300944"/>
    <n v="5"/>
    <n v="4"/>
    <s v="SI"/>
    <s v="SI"/>
    <s v="SI"/>
    <n v="10"/>
    <s v="SI"/>
    <s v="SI"/>
    <s v="recurrente"/>
  </r>
  <r>
    <n v="103"/>
    <s v="Cusco "/>
    <x v="0"/>
    <s v="Echarate"/>
    <s v="SECTOR CENTRO POBLADO PAMPA CONCEPCION "/>
    <x v="1"/>
    <s v="LAZO LAZO PAUL"/>
    <n v="28"/>
    <s v="M"/>
    <n v="20000"/>
    <n v="76546202"/>
    <n v="45533"/>
    <s v="12 MESES"/>
    <s v="CAPITAL DE TRABAJO"/>
    <s v="PRODUCCION DE CAFÉ Y CACAO"/>
    <s v="microempresa"/>
    <n v="0.28620000000000001"/>
    <s v="LAT:-13.13978189 LON:-72.60063466"/>
    <n v="10"/>
    <n v="8"/>
    <s v="SI"/>
    <s v="SI"/>
    <s v="SI"/>
    <n v="6"/>
    <s v="SI"/>
    <s v="SI"/>
    <s v="recurrente"/>
  </r>
  <r>
    <n v="104"/>
    <s v="Cusco "/>
    <x v="0"/>
    <s v="Maranura"/>
    <s v="SECTOR HUAYOPATA RODEO"/>
    <x v="1"/>
    <s v="VALDIVIA DE VALDIGLESIAS LILIA"/>
    <n v="68"/>
    <s v="F"/>
    <n v="15000"/>
    <n v="24968870"/>
    <n v="45533"/>
    <s v="24 MESES"/>
    <s v="CAPITAL DE TRABAJO"/>
    <s v="PRODUCCION DE CAFÉ Y CACAO"/>
    <s v="microempresa"/>
    <n v="0.31369999999999998"/>
    <s v="LAT:-12.76847121 LON:-72.63274474"/>
    <n v="9"/>
    <n v="9"/>
    <s v="SI"/>
    <s v="SI"/>
    <s v="SI"/>
    <n v="12"/>
    <s v="SI"/>
    <s v="SI"/>
    <s v="nuevo"/>
  </r>
  <r>
    <n v="105"/>
    <s v="Cusco "/>
    <x v="0"/>
    <s v="Echarate"/>
    <s v="PALMA REAL SECTOR IVANQUI"/>
    <x v="1"/>
    <s v="QUISPE CONDORI MIGUEL"/>
    <n v="42"/>
    <s v="M"/>
    <n v="5000"/>
    <n v="42621829"/>
    <n v="45583"/>
    <s v="6 MESES"/>
    <s v="CAPITAL DE TRABAJO"/>
    <s v="PRODUCCION DE CAFÉ Y CACAO"/>
    <s v="microempresa"/>
    <n v="0.32140000000000002"/>
    <s v="LAT:-12.90758261 LON:-72.72588768"/>
    <n v="7"/>
    <n v="5"/>
    <s v="SI"/>
    <s v="SI"/>
    <s v="SI"/>
    <n v="8"/>
    <s v="SI"/>
    <s v="SI"/>
    <s v="recurrente"/>
  </r>
  <r>
    <n v="106"/>
    <s v="Cusco "/>
    <x v="0"/>
    <s v="Quellouno"/>
    <s v="ANCHIHUAY BAJO"/>
    <x v="1"/>
    <s v="NUÑEZ QUISPE SAMUEL ENRIQUE"/>
    <n v="31"/>
    <s v="M"/>
    <n v="5000"/>
    <n v="62097411"/>
    <n v="45530"/>
    <s v="12 MESES"/>
    <s v="CAPITAL DE TRABAJO"/>
    <s v="PRODUCCION DE CAFÉ Y CACAO"/>
    <s v="microempresa"/>
    <n v="0.33229999999999998"/>
    <s v="LAT:-12.50845815 LON:-72.61849041"/>
    <n v="4"/>
    <n v="3"/>
    <s v="SI"/>
    <s v="SI"/>
    <s v="SI"/>
    <n v="10"/>
    <s v="SI"/>
    <s v="SI"/>
    <s v="recurrente"/>
  </r>
  <r>
    <n v="107"/>
    <s v="Cusco "/>
    <x v="0"/>
    <s v="Quellouno"/>
    <s v="SECTOR DE SULLUCUYOC"/>
    <x v="1"/>
    <s v="VASQUEZ GUZMAN MARCOS"/>
    <n v="48"/>
    <s v="M"/>
    <n v="2000"/>
    <n v="25326513"/>
    <n v="45530"/>
    <s v="12 MESES"/>
    <s v="CAPITAL DE TRABAJO"/>
    <s v="PRODUCCION DE CAFÉ Y CACAO"/>
    <s v="microempresa"/>
    <n v="0.4763"/>
    <s v="LAT:-12.6508246 LON:-72.71790946"/>
    <n v="5"/>
    <n v="4"/>
    <s v="SI"/>
    <s v="SI"/>
    <s v="SI"/>
    <n v="8"/>
    <s v="SI"/>
    <s v="SI"/>
    <s v="nuevo"/>
  </r>
  <r>
    <n v="108"/>
    <s v="Cusco "/>
    <x v="0"/>
    <s v="Echarate"/>
    <s v="SECTOR ICHIQUIATO BAJO"/>
    <x v="1"/>
    <s v="ENCALADA SANCHEZ RENEE"/>
    <n v="53"/>
    <s v="M"/>
    <n v="8000"/>
    <n v="24992672"/>
    <n v="45523"/>
    <s v="12 MESES"/>
    <s v="CAPITAL DE TRABAJO"/>
    <s v="PRODUCCION DE CAFÉ Y CACAO"/>
    <s v="microempresa"/>
    <n v="0.32140000000000002"/>
    <s v="LAT:-12.65850082 LON:-72.74520563"/>
    <n v="3"/>
    <n v="3"/>
    <s v="SI"/>
    <s v="SI"/>
    <s v="SI"/>
    <n v="11"/>
    <s v="SI"/>
    <s v="SI"/>
    <s v="recurrente"/>
  </r>
  <r>
    <n v="109"/>
    <s v="Cusco "/>
    <x v="0"/>
    <s v="Echarate"/>
    <s v="PALMA REAL ILLAPANI"/>
    <x v="1"/>
    <s v="TELLO GRANDEZ DEYVIS"/>
    <n v="32"/>
    <s v="M"/>
    <n v="5000"/>
    <n v="47755054"/>
    <n v="45519"/>
    <s v="12 MESES"/>
    <s v="CAPITAL DE TRABAJO"/>
    <s v="PRODUCCION DE CAFÉ Y CACAO"/>
    <s v="microempresa"/>
    <n v="0.33229999999999998"/>
    <s v="LAT:-12.76847136 LON:-72.6327457"/>
    <n v="5"/>
    <n v="4"/>
    <s v="SI"/>
    <s v="SI"/>
    <s v="SI"/>
    <n v="9"/>
    <s v="SI"/>
    <s v="SI"/>
    <s v="nuevo"/>
  </r>
  <r>
    <n v="110"/>
    <s v="Cusco "/>
    <x v="0"/>
    <s v="Echarate"/>
    <s v="TALANCATO"/>
    <x v="1"/>
    <s v="SARMIENTO ALVAREZ DELIA"/>
    <n v="60"/>
    <s v="F"/>
    <n v="5000"/>
    <n v="24950756"/>
    <n v="45516"/>
    <s v="12 MESES"/>
    <s v="CAPITAL DE TRABAJO"/>
    <s v="PRODUCCION DE CAFÉ Y CACAO"/>
    <s v="microempresa"/>
    <n v="0.31140000000000001"/>
    <s v="LAT:-12.72987084 LON:-72.53740227"/>
    <n v="6"/>
    <n v="4"/>
    <s v="SI"/>
    <s v="SI"/>
    <s v="SI"/>
    <n v="15"/>
    <s v="SI"/>
    <s v="SI"/>
    <s v="recurrente"/>
  </r>
  <r>
    <n v="111"/>
    <s v="Cusco "/>
    <x v="0"/>
    <s v="Quellouno"/>
    <s v="SECTOR PUERTO CARMEN"/>
    <x v="1"/>
    <s v="PALOMINO ACEBEDO GERMAN"/>
    <n v="62"/>
    <s v="M"/>
    <n v="30000"/>
    <n v="23971845"/>
    <n v="45509"/>
    <s v="12 MESES"/>
    <s v="CAPITAL DE TRABAJO"/>
    <s v="PRODUCCION DE CAFÉ Y CACAO"/>
    <s v="microempresa"/>
    <n v="0.26819999999999999"/>
    <m/>
    <n v="12"/>
    <n v="9"/>
    <s v="SI"/>
    <s v="SI"/>
    <s v="SI"/>
    <n v="20"/>
    <s v="SI"/>
    <s v="SI"/>
    <s v="recurrente"/>
  </r>
  <r>
    <n v="112"/>
    <s v="Cusco "/>
    <x v="0"/>
    <s v="Echarate"/>
    <s v="SECTOR PUENTE ECHARATE"/>
    <x v="3"/>
    <s v="HUILLCA ARRIAGA FORTUNATA"/>
    <n v="39"/>
    <s v="F"/>
    <n v="20000"/>
    <n v="44677527"/>
    <n v="45639"/>
    <s v="12 MESES"/>
    <s v="CAPITAL DE TRABAJO"/>
    <s v="PRODUCCION DE CAFÉ Y CACAO"/>
    <s v="microempresa"/>
    <n v="0.36070000000000002"/>
    <s v="LAT:-12.627405855 LON:-72.97157693"/>
    <n v="9"/>
    <n v="9"/>
    <s v="SI"/>
    <s v="SI"/>
    <s v="SI"/>
    <n v="12"/>
    <s v="SI"/>
    <s v="SI"/>
    <s v="nuevo"/>
  </r>
  <r>
    <n v="113"/>
    <s v="Cusco "/>
    <x v="0"/>
    <s v="Echarate"/>
    <s v="KUMPIRUSHIATO"/>
    <x v="3"/>
    <s v="LIMA RAMIREZ JUAN"/>
    <n v="55"/>
    <s v="M"/>
    <n v="20000"/>
    <n v="80120674"/>
    <n v="45622"/>
    <s v="24 MESES"/>
    <s v="CAPITAL DE TRABAJO"/>
    <s v="PRODUCCION DE CAFÉ Y CACAO"/>
    <s v="microempresa"/>
    <n v="0.28620000000000001"/>
    <s v="LAT:-12.573441360 LON:-73.07605919"/>
    <n v="15"/>
    <n v="12"/>
    <s v="SI"/>
    <s v="SI"/>
    <s v="SI"/>
    <n v="15"/>
    <s v="SI"/>
    <s v="SI"/>
    <s v="recurrente"/>
  </r>
  <r>
    <n v="114"/>
    <s v="Cusco "/>
    <x v="0"/>
    <s v="Echarate"/>
    <s v="ITARIATO"/>
    <x v="3"/>
    <s v="SOSA CONDORI SION"/>
    <n v="32"/>
    <s v="M"/>
    <n v="3000"/>
    <n v="47699662"/>
    <n v="45577"/>
    <s v="12 MESES"/>
    <s v="CAPITAL DE TRABAJO"/>
    <s v="PRODUCCION DE CAFÉ Y CACAO"/>
    <s v="microempresa"/>
    <n v="0.45929999999999999"/>
    <s v="LAT:-12.601509754 LON:-73.13710785"/>
    <n v="5"/>
    <n v="4"/>
    <s v="SI"/>
    <s v="SI"/>
    <s v="SI"/>
    <n v="9"/>
    <s v="SI"/>
    <s v="SI"/>
    <s v="recurrente"/>
  </r>
  <r>
    <n v="115"/>
    <s v="Cusco "/>
    <x v="0"/>
    <s v="Echarate"/>
    <s v="KUMPIRUSHIATO"/>
    <x v="3"/>
    <s v="MOLINA VARGAS JHON"/>
    <n v="37"/>
    <s v="M"/>
    <n v="5000"/>
    <n v="44310124"/>
    <n v="45630"/>
    <s v="12 MESES"/>
    <s v="CAPITAL DE TRABAJO"/>
    <s v="PRODUCCION DE CAFÉ Y CACAO"/>
    <s v="microempresa"/>
    <n v="0.39279999999999998"/>
    <s v="LAT:-12.654943 LON:-73.136587"/>
    <n v="6"/>
    <n v="5"/>
    <s v="SI"/>
    <s v="SI"/>
    <s v="SI"/>
    <n v="10"/>
    <s v="SI"/>
    <s v="SI"/>
    <s v="recurrente"/>
  </r>
  <r>
    <m/>
    <m/>
    <x v="2"/>
    <m/>
    <m/>
    <x v="4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" firstHeaderRow="1" firstDataRow="1" firstDataCol="1"/>
  <pivotFields count="35"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12">
        <item x="1"/>
        <item x="7"/>
        <item x="9"/>
        <item x="10"/>
        <item x="6"/>
        <item x="3"/>
        <item x="5"/>
        <item x="0"/>
        <item x="4"/>
        <item x="2"/>
        <item x="8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>
      <items count="18">
        <item x="16"/>
        <item x="3"/>
        <item x="13"/>
        <item x="7"/>
        <item x="6"/>
        <item x="1"/>
        <item x="14"/>
        <item x="5"/>
        <item x="11"/>
        <item x="15"/>
        <item x="8"/>
        <item x="10"/>
        <item x="9"/>
        <item x="2"/>
        <item x="4"/>
        <item x="0"/>
        <item x="12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32">
        <item x="28"/>
        <item x="12"/>
        <item x="4"/>
        <item x="15"/>
        <item x="17"/>
        <item x="18"/>
        <item x="19"/>
        <item x="0"/>
        <item x="20"/>
        <item x="11"/>
        <item x="16"/>
        <item x="13"/>
        <item x="2"/>
        <item x="25"/>
        <item x="10"/>
        <item x="27"/>
        <item x="5"/>
        <item x="23"/>
        <item x="22"/>
        <item x="14"/>
        <item x="9"/>
        <item x="30"/>
        <item x="8"/>
        <item x="6"/>
        <item x="3"/>
        <item x="7"/>
        <item x="24"/>
        <item x="26"/>
        <item x="21"/>
        <item x="1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MONTO DEL CRÉDITO (S/.) (8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8" firstHeaderRow="0" firstDataRow="1" firstDataCol="1"/>
  <pivotFields count="35">
    <pivotField dataField="1" showAll="0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13">
        <item x="1"/>
        <item x="7"/>
        <item x="9"/>
        <item x="10"/>
        <item x="6"/>
        <item x="3"/>
        <item x="5"/>
        <item x="0"/>
        <item x="4"/>
        <item x="2"/>
        <item x="8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2"/>
    <field x="3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NUMERO" fld="0" subtotal="count" baseField="0" baseItem="0"/>
    <dataField name="Suma de MONTO DEL CRÉDITO (S/.) (8)" fld="9" baseField="2" baseItem="0"/>
    <dataField name="Suma de ÁREA A CULTIVAR (HA) (19)" fld="20" baseField="3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D7" firstHeaderRow="0" firstDataRow="1" firstDataCol="1" rowPageCount="2" colPageCount="1"/>
  <pivotFields count="35"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1"/>
        <item x="7"/>
        <item x="9"/>
        <item x="10"/>
        <item x="6"/>
        <item x="3"/>
        <item x="5"/>
        <item x="0"/>
        <item x="4"/>
        <item x="2"/>
        <item x="8"/>
        <item x="11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4">
        <item x="28"/>
        <item x="12"/>
        <item x="4"/>
        <item x="15"/>
        <item x="17"/>
        <item x="18"/>
        <item x="19"/>
        <item x="0"/>
        <item x="20"/>
        <item x="11"/>
        <item x="16"/>
        <item x="13"/>
        <item x="2"/>
        <item x="25"/>
        <item x="10"/>
        <item x="27"/>
        <item x="31"/>
        <item x="5"/>
        <item x="23"/>
        <item x="22"/>
        <item x="14"/>
        <item x="9"/>
        <item x="30"/>
        <item x="8"/>
        <item x="6"/>
        <item x="3"/>
        <item x="7"/>
        <item x="24"/>
        <item x="26"/>
        <item x="21"/>
        <item x="1"/>
        <item x="29"/>
        <item x="3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9" hier="-1"/>
    <pageField fld="30" hier="-1"/>
  </pageFields>
  <dataFields count="3">
    <dataField name="Cuenta de NOMBRES Y APELLIDOS DEL CLIENTE (6)" fld="6" subtotal="count" baseField="0" baseItem="0"/>
    <dataField name="Suma de MONTO DEL CRÉDITO (S/.) (8)" fld="9" baseField="5" baseItem="1"/>
    <dataField name="Suma de ÁREA A CULTIVAR (HA) (19)" fld="20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7" firstHeaderRow="0" firstDataRow="1" firstDataCol="1"/>
  <pivotFields count="27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NUMERO" fld="0" subtotal="count" baseField="0" baseItem="0"/>
    <dataField name="Suma de MONTO DEL CRÉDITO (S/.) (8)" fld="9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B7"/>
  <sheetViews>
    <sheetView workbookViewId="0">
      <selection activeCell="A2" sqref="A2:B7"/>
    </sheetView>
  </sheetViews>
  <sheetFormatPr baseColWidth="10" defaultRowHeight="14.4" x14ac:dyDescent="0.3"/>
  <cols>
    <col min="1" max="1" width="17.5546875" customWidth="1"/>
    <col min="2" max="2" width="35.44140625" customWidth="1"/>
    <col min="3" max="4" width="32.33203125" customWidth="1"/>
    <col min="5" max="5" width="12.5546875" customWidth="1"/>
    <col min="6" max="12" width="5" customWidth="1"/>
    <col min="13" max="18" width="6" customWidth="1"/>
    <col min="19" max="19" width="12.5546875" customWidth="1"/>
    <col min="20" max="20" width="6" customWidth="1"/>
    <col min="21" max="28" width="7" customWidth="1"/>
    <col min="29" max="29" width="6" customWidth="1"/>
    <col min="30" max="32" width="7" customWidth="1"/>
    <col min="33" max="33" width="12.5546875" bestFit="1" customWidth="1"/>
  </cols>
  <sheetData>
    <row r="3" spans="1:2" x14ac:dyDescent="0.3">
      <c r="A3" s="2" t="s">
        <v>236</v>
      </c>
      <c r="B3" t="s">
        <v>238</v>
      </c>
    </row>
    <row r="4" spans="1:2" x14ac:dyDescent="0.3">
      <c r="A4" s="1" t="s">
        <v>170</v>
      </c>
      <c r="B4" s="3">
        <v>114500</v>
      </c>
    </row>
    <row r="5" spans="1:2" x14ac:dyDescent="0.3">
      <c r="A5" s="1" t="s">
        <v>94</v>
      </c>
      <c r="B5" s="3">
        <v>2000</v>
      </c>
    </row>
    <row r="6" spans="1:2" x14ac:dyDescent="0.3">
      <c r="A6" s="1" t="s">
        <v>28</v>
      </c>
      <c r="B6" s="3">
        <v>606500</v>
      </c>
    </row>
    <row r="7" spans="1:2" x14ac:dyDescent="0.3">
      <c r="A7" s="1" t="s">
        <v>237</v>
      </c>
      <c r="B7" s="3">
        <v>723000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3:E38"/>
  <sheetViews>
    <sheetView topLeftCell="A12" workbookViewId="0">
      <selection activeCell="A2" sqref="A2:E39"/>
    </sheetView>
  </sheetViews>
  <sheetFormatPr baseColWidth="10" defaultRowHeight="14.4" x14ac:dyDescent="0.3"/>
  <cols>
    <col min="1" max="1" width="17.5546875" customWidth="1"/>
    <col min="2" max="2" width="18.88671875" customWidth="1"/>
    <col min="3" max="3" width="30.6640625" customWidth="1"/>
    <col min="4" max="4" width="25.5546875" customWidth="1"/>
    <col min="5" max="5" width="35.44140625" customWidth="1"/>
    <col min="6" max="6" width="10.44140625" customWidth="1"/>
    <col min="7" max="7" width="11" customWidth="1"/>
    <col min="8" max="8" width="33.44140625" bestFit="1" customWidth="1"/>
    <col min="9" max="9" width="10.44140625" customWidth="1"/>
    <col min="10" max="10" width="11" customWidth="1"/>
    <col min="11" max="11" width="23.88671875" bestFit="1" customWidth="1"/>
    <col min="12" max="12" width="40.44140625" bestFit="1" customWidth="1"/>
    <col min="13" max="13" width="38.44140625" bestFit="1" customWidth="1"/>
  </cols>
  <sheetData>
    <row r="3" spans="1:5" x14ac:dyDescent="0.3">
      <c r="A3" s="2" t="s">
        <v>236</v>
      </c>
      <c r="B3" t="s">
        <v>243</v>
      </c>
      <c r="C3" t="s">
        <v>238</v>
      </c>
      <c r="D3" t="s">
        <v>244</v>
      </c>
      <c r="E3" t="s">
        <v>260</v>
      </c>
    </row>
    <row r="4" spans="1:5" x14ac:dyDescent="0.3">
      <c r="A4" s="1" t="s">
        <v>28</v>
      </c>
      <c r="B4" s="3">
        <v>62</v>
      </c>
      <c r="C4" s="3">
        <v>741000</v>
      </c>
      <c r="D4" s="3">
        <v>240</v>
      </c>
    </row>
    <row r="5" spans="1:5" x14ac:dyDescent="0.3">
      <c r="A5" s="4" t="s">
        <v>29</v>
      </c>
      <c r="B5" s="3">
        <v>12</v>
      </c>
      <c r="C5" s="3">
        <v>148000</v>
      </c>
      <c r="D5" s="3">
        <v>32.5</v>
      </c>
    </row>
    <row r="6" spans="1:5" x14ac:dyDescent="0.3">
      <c r="A6" s="4" t="s">
        <v>66</v>
      </c>
      <c r="B6" s="3">
        <v>1</v>
      </c>
      <c r="C6" s="3">
        <v>30000</v>
      </c>
      <c r="D6" s="3">
        <v>3</v>
      </c>
    </row>
    <row r="7" spans="1:5" x14ac:dyDescent="0.3">
      <c r="A7" s="4" t="s">
        <v>126</v>
      </c>
      <c r="B7" s="3">
        <v>4</v>
      </c>
      <c r="C7" s="3">
        <v>22500</v>
      </c>
      <c r="D7" s="3">
        <v>25</v>
      </c>
    </row>
    <row r="8" spans="1:5" x14ac:dyDescent="0.3">
      <c r="A8" s="4" t="s">
        <v>148</v>
      </c>
      <c r="B8" s="3">
        <v>1</v>
      </c>
      <c r="C8" s="3">
        <v>1500</v>
      </c>
      <c r="D8" s="3">
        <v>4</v>
      </c>
    </row>
    <row r="9" spans="1:5" x14ac:dyDescent="0.3">
      <c r="A9" s="4" t="s">
        <v>58</v>
      </c>
      <c r="B9" s="3">
        <v>1</v>
      </c>
      <c r="C9" s="3">
        <v>50000</v>
      </c>
      <c r="D9" s="3">
        <v>12</v>
      </c>
    </row>
    <row r="10" spans="1:5" x14ac:dyDescent="0.3">
      <c r="A10" s="4" t="s">
        <v>190</v>
      </c>
      <c r="B10" s="3">
        <v>3</v>
      </c>
      <c r="C10" s="3">
        <v>5500</v>
      </c>
      <c r="D10" s="3">
        <v>3</v>
      </c>
    </row>
    <row r="11" spans="1:5" x14ac:dyDescent="0.3">
      <c r="A11" s="4" t="s">
        <v>97</v>
      </c>
      <c r="B11" s="3">
        <v>1</v>
      </c>
      <c r="C11" s="3">
        <v>2000</v>
      </c>
      <c r="D11" s="3">
        <v>3</v>
      </c>
    </row>
    <row r="12" spans="1:5" x14ac:dyDescent="0.3">
      <c r="A12" s="4" t="s">
        <v>39</v>
      </c>
      <c r="B12" s="3">
        <v>25</v>
      </c>
      <c r="C12" s="3">
        <v>256500</v>
      </c>
      <c r="D12" s="3">
        <v>97.5</v>
      </c>
    </row>
    <row r="13" spans="1:5" x14ac:dyDescent="0.3">
      <c r="A13" s="4" t="s">
        <v>43</v>
      </c>
      <c r="B13" s="3">
        <v>11</v>
      </c>
      <c r="C13" s="3">
        <v>199000</v>
      </c>
      <c r="D13" s="3">
        <v>50</v>
      </c>
    </row>
    <row r="14" spans="1:5" x14ac:dyDescent="0.3">
      <c r="A14" s="4" t="s">
        <v>142</v>
      </c>
      <c r="B14" s="3">
        <v>2</v>
      </c>
      <c r="C14" s="3">
        <v>6000</v>
      </c>
      <c r="D14" s="3">
        <v>5</v>
      </c>
    </row>
    <row r="15" spans="1:5" x14ac:dyDescent="0.3">
      <c r="A15" s="4" t="s">
        <v>70</v>
      </c>
      <c r="B15" s="3">
        <v>1</v>
      </c>
      <c r="C15" s="3">
        <v>20000</v>
      </c>
      <c r="D15" s="3">
        <v>5</v>
      </c>
    </row>
    <row r="16" spans="1:5" x14ac:dyDescent="0.3">
      <c r="A16" s="1" t="s">
        <v>242</v>
      </c>
      <c r="B16" s="3"/>
      <c r="C16" s="3">
        <v>741000</v>
      </c>
      <c r="D16" s="3">
        <v>240</v>
      </c>
    </row>
    <row r="17" spans="1:5" x14ac:dyDescent="0.3">
      <c r="A17" s="4" t="s">
        <v>242</v>
      </c>
      <c r="B17" s="3"/>
      <c r="C17" s="3">
        <v>741000</v>
      </c>
      <c r="D17" s="3">
        <v>240</v>
      </c>
    </row>
    <row r="18" spans="1:5" x14ac:dyDescent="0.3">
      <c r="A18" s="1" t="s">
        <v>237</v>
      </c>
      <c r="B18" s="3">
        <v>62</v>
      </c>
      <c r="C18" s="3">
        <v>1482000</v>
      </c>
      <c r="D18" s="3">
        <v>480</v>
      </c>
    </row>
    <row r="26" spans="1:5" ht="15" thickBot="1" x14ac:dyDescent="0.35"/>
    <row r="27" spans="1:5" ht="15" thickBot="1" x14ac:dyDescent="0.35">
      <c r="A27" s="12" t="s">
        <v>249</v>
      </c>
      <c r="B27" s="12" t="s">
        <v>250</v>
      </c>
      <c r="C27" s="13" t="s">
        <v>251</v>
      </c>
      <c r="D27" s="14" t="s">
        <v>252</v>
      </c>
      <c r="E27" s="23" t="s">
        <v>260</v>
      </c>
    </row>
    <row r="28" spans="1:5" x14ac:dyDescent="0.3">
      <c r="A28" s="18" t="s">
        <v>29</v>
      </c>
      <c r="B28" s="18">
        <v>13</v>
      </c>
      <c r="C28" s="19">
        <v>178000</v>
      </c>
      <c r="D28" s="20">
        <v>35.5</v>
      </c>
      <c r="E28" s="20">
        <v>1162</v>
      </c>
    </row>
    <row r="29" spans="1:5" x14ac:dyDescent="0.3">
      <c r="A29" s="18" t="s">
        <v>126</v>
      </c>
      <c r="B29" s="18">
        <v>4</v>
      </c>
      <c r="C29" s="19">
        <v>22500</v>
      </c>
      <c r="D29" s="20">
        <v>25</v>
      </c>
      <c r="E29" s="20">
        <v>1650</v>
      </c>
    </row>
    <row r="30" spans="1:5" x14ac:dyDescent="0.3">
      <c r="A30" s="18" t="s">
        <v>148</v>
      </c>
      <c r="B30" s="18">
        <v>1</v>
      </c>
      <c r="C30" s="19">
        <v>1500</v>
      </c>
      <c r="D30" s="20">
        <v>4</v>
      </c>
      <c r="E30" s="20">
        <v>1524</v>
      </c>
    </row>
    <row r="31" spans="1:5" x14ac:dyDescent="0.3">
      <c r="A31" s="18" t="s">
        <v>58</v>
      </c>
      <c r="B31" s="18">
        <v>1</v>
      </c>
      <c r="C31" s="19">
        <v>50000</v>
      </c>
      <c r="D31" s="20">
        <v>12</v>
      </c>
      <c r="E31" s="24">
        <v>605</v>
      </c>
    </row>
    <row r="32" spans="1:5" x14ac:dyDescent="0.3">
      <c r="A32" s="18" t="s">
        <v>190</v>
      </c>
      <c r="B32" s="18">
        <v>3</v>
      </c>
      <c r="C32" s="19">
        <v>5500</v>
      </c>
      <c r="D32" s="20">
        <v>3</v>
      </c>
      <c r="E32" s="24">
        <v>1120</v>
      </c>
    </row>
    <row r="33" spans="1:5" x14ac:dyDescent="0.3">
      <c r="A33" s="18" t="s">
        <v>261</v>
      </c>
      <c r="B33" s="18">
        <v>1</v>
      </c>
      <c r="C33" s="19">
        <v>2000</v>
      </c>
      <c r="D33" s="20">
        <v>3</v>
      </c>
      <c r="E33" s="24">
        <v>3006</v>
      </c>
    </row>
    <row r="34" spans="1:5" x14ac:dyDescent="0.3">
      <c r="A34" s="18" t="s">
        <v>39</v>
      </c>
      <c r="B34" s="18">
        <v>25</v>
      </c>
      <c r="C34" s="19">
        <v>256500</v>
      </c>
      <c r="D34" s="20">
        <v>97.5</v>
      </c>
      <c r="E34" s="24">
        <v>800</v>
      </c>
    </row>
    <row r="35" spans="1:5" x14ac:dyDescent="0.3">
      <c r="A35" s="18" t="s">
        <v>43</v>
      </c>
      <c r="B35" s="18">
        <v>11</v>
      </c>
      <c r="C35" s="19">
        <v>199000</v>
      </c>
      <c r="D35" s="20">
        <v>50</v>
      </c>
      <c r="E35" s="24">
        <v>1050</v>
      </c>
    </row>
    <row r="36" spans="1:5" x14ac:dyDescent="0.3">
      <c r="A36" s="18" t="s">
        <v>142</v>
      </c>
      <c r="B36" s="18">
        <v>2</v>
      </c>
      <c r="C36" s="19">
        <v>6000</v>
      </c>
      <c r="D36" s="20">
        <v>5</v>
      </c>
      <c r="E36">
        <v>1511</v>
      </c>
    </row>
    <row r="37" spans="1:5" ht="15" thickBot="1" x14ac:dyDescent="0.35">
      <c r="A37" s="18" t="s">
        <v>70</v>
      </c>
      <c r="B37" s="18">
        <v>1</v>
      </c>
      <c r="C37" s="19">
        <v>20000</v>
      </c>
      <c r="D37" s="20">
        <v>5</v>
      </c>
      <c r="E37" s="24">
        <v>2943</v>
      </c>
    </row>
    <row r="38" spans="1:5" ht="15" thickBot="1" x14ac:dyDescent="0.35">
      <c r="A38" s="15" t="s">
        <v>253</v>
      </c>
      <c r="B38" s="15">
        <v>62</v>
      </c>
      <c r="C38" s="16">
        <v>741000</v>
      </c>
      <c r="D38" s="17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33"/>
  <sheetViews>
    <sheetView workbookViewId="0">
      <selection activeCell="B36" sqref="B36"/>
    </sheetView>
  </sheetViews>
  <sheetFormatPr baseColWidth="10" defaultRowHeight="14.4" x14ac:dyDescent="0.3"/>
  <cols>
    <col min="1" max="1" width="23.88671875" customWidth="1"/>
    <col min="2" max="2" width="23" customWidth="1"/>
    <col min="3" max="3" width="25.33203125" customWidth="1"/>
    <col min="4" max="4" width="22.6640625" customWidth="1"/>
    <col min="5" max="5" width="23" customWidth="1"/>
    <col min="6" max="6" width="24.88671875" customWidth="1"/>
    <col min="7" max="7" width="6" customWidth="1"/>
    <col min="8" max="8" width="7" customWidth="1"/>
    <col min="9" max="9" width="11" customWidth="1"/>
    <col min="10" max="10" width="33.44140625" bestFit="1" customWidth="1"/>
    <col min="11" max="11" width="3" customWidth="1"/>
    <col min="12" max="12" width="4" customWidth="1"/>
    <col min="13" max="13" width="11" customWidth="1"/>
    <col min="14" max="14" width="50.5546875" bestFit="1" customWidth="1"/>
    <col min="15" max="15" width="40.44140625" bestFit="1" customWidth="1"/>
    <col min="16" max="16" width="38.44140625" bestFit="1" customWidth="1"/>
  </cols>
  <sheetData>
    <row r="1" spans="1:4" x14ac:dyDescent="0.3">
      <c r="A1" s="2" t="s">
        <v>25</v>
      </c>
      <c r="B1" t="s">
        <v>38</v>
      </c>
    </row>
    <row r="2" spans="1:4" x14ac:dyDescent="0.3">
      <c r="A2" s="2" t="s">
        <v>26</v>
      </c>
      <c r="B2" t="s">
        <v>245</v>
      </c>
    </row>
    <row r="4" spans="1:4" x14ac:dyDescent="0.3">
      <c r="A4" s="2" t="s">
        <v>236</v>
      </c>
      <c r="B4" t="s">
        <v>254</v>
      </c>
      <c r="C4" t="s">
        <v>238</v>
      </c>
      <c r="D4" t="s">
        <v>244</v>
      </c>
    </row>
    <row r="5" spans="1:4" x14ac:dyDescent="0.3">
      <c r="A5" s="1" t="s">
        <v>170</v>
      </c>
      <c r="B5" s="3">
        <v>9</v>
      </c>
      <c r="C5" s="3">
        <v>114500</v>
      </c>
      <c r="D5" s="3">
        <v>14</v>
      </c>
    </row>
    <row r="6" spans="1:4" x14ac:dyDescent="0.3">
      <c r="A6" s="1" t="s">
        <v>28</v>
      </c>
      <c r="B6" s="3">
        <v>39</v>
      </c>
      <c r="C6" s="3">
        <v>581000</v>
      </c>
      <c r="D6" s="3">
        <v>186</v>
      </c>
    </row>
    <row r="7" spans="1:4" x14ac:dyDescent="0.3">
      <c r="A7" s="1" t="s">
        <v>237</v>
      </c>
      <c r="B7" s="3">
        <v>48</v>
      </c>
      <c r="C7" s="3">
        <v>695500</v>
      </c>
      <c r="D7" s="3">
        <v>200</v>
      </c>
    </row>
    <row r="21" spans="1:4" ht="15" thickBot="1" x14ac:dyDescent="0.35"/>
    <row r="22" spans="1:4" ht="15" thickBot="1" x14ac:dyDescent="0.35">
      <c r="A22" s="15" t="s">
        <v>255</v>
      </c>
      <c r="B22" s="21" t="s">
        <v>256</v>
      </c>
      <c r="C22" s="21" t="s">
        <v>257</v>
      </c>
      <c r="D22" s="17" t="s">
        <v>252</v>
      </c>
    </row>
    <row r="23" spans="1:4" x14ac:dyDescent="0.3">
      <c r="A23" s="18" t="s">
        <v>170</v>
      </c>
      <c r="B23" s="22">
        <v>9</v>
      </c>
      <c r="C23" s="19">
        <v>114500</v>
      </c>
      <c r="D23" s="20">
        <v>14</v>
      </c>
    </row>
    <row r="24" spans="1:4" x14ac:dyDescent="0.3">
      <c r="A24" s="18" t="s">
        <v>94</v>
      </c>
      <c r="B24" s="22">
        <v>1</v>
      </c>
      <c r="C24" s="19">
        <v>2000</v>
      </c>
      <c r="D24" s="20">
        <v>3</v>
      </c>
    </row>
    <row r="25" spans="1:4" ht="15" thickBot="1" x14ac:dyDescent="0.35">
      <c r="A25" s="18" t="s">
        <v>28</v>
      </c>
      <c r="B25" s="22">
        <v>52</v>
      </c>
      <c r="C25" s="19">
        <v>624500</v>
      </c>
      <c r="D25" s="20">
        <v>223</v>
      </c>
    </row>
    <row r="26" spans="1:4" ht="15" thickBot="1" x14ac:dyDescent="0.35">
      <c r="A26" s="15" t="s">
        <v>253</v>
      </c>
      <c r="B26" s="21">
        <v>62</v>
      </c>
      <c r="C26" s="16">
        <v>1482000</v>
      </c>
      <c r="D26" s="17">
        <v>480</v>
      </c>
    </row>
    <row r="28" spans="1:4" ht="15" thickBot="1" x14ac:dyDescent="0.35"/>
    <row r="29" spans="1:4" ht="15" thickBot="1" x14ac:dyDescent="0.35">
      <c r="A29" s="15" t="s">
        <v>255</v>
      </c>
      <c r="B29" s="15" t="s">
        <v>258</v>
      </c>
      <c r="C29" s="21" t="s">
        <v>259</v>
      </c>
    </row>
    <row r="30" spans="1:4" x14ac:dyDescent="0.3">
      <c r="A30" s="18" t="s">
        <v>170</v>
      </c>
      <c r="B30" s="18"/>
      <c r="C30" s="22">
        <v>9</v>
      </c>
    </row>
    <row r="31" spans="1:4" x14ac:dyDescent="0.3">
      <c r="A31" s="18" t="s">
        <v>94</v>
      </c>
      <c r="B31" s="18">
        <v>1</v>
      </c>
      <c r="C31" s="22"/>
    </row>
    <row r="32" spans="1:4" ht="15" thickBot="1" x14ac:dyDescent="0.35">
      <c r="A32" s="18" t="s">
        <v>28</v>
      </c>
      <c r="B32" s="18">
        <v>13</v>
      </c>
      <c r="C32" s="22">
        <v>39</v>
      </c>
    </row>
    <row r="33" spans="1:3" ht="15" thickBot="1" x14ac:dyDescent="0.35">
      <c r="A33" s="15" t="s">
        <v>253</v>
      </c>
      <c r="B33" s="15">
        <f>SUM(B31:B32)</f>
        <v>14</v>
      </c>
      <c r="C33" s="21">
        <f>SUM(C30:C32)</f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C117"/>
  <sheetViews>
    <sheetView tabSelected="1" workbookViewId="0">
      <selection activeCell="AC1" sqref="A1:AC1"/>
    </sheetView>
  </sheetViews>
  <sheetFormatPr baseColWidth="10" defaultColWidth="11.44140625" defaultRowHeight="15.75" customHeight="1" x14ac:dyDescent="0.3"/>
  <cols>
    <col min="1" max="2" width="11.44140625" style="26"/>
    <col min="3" max="3" width="13.88671875" style="26" bestFit="1" customWidth="1"/>
    <col min="4" max="4" width="11.44140625" style="26"/>
    <col min="5" max="5" width="36.109375" style="26" bestFit="1" customWidth="1"/>
    <col min="6" max="6" width="28.5546875" style="26" customWidth="1"/>
    <col min="7" max="7" width="35.5546875" style="26" bestFit="1" customWidth="1"/>
    <col min="8" max="8" width="8.33203125" style="26" customWidth="1"/>
    <col min="9" max="9" width="11.44140625" style="26"/>
    <col min="10" max="10" width="27.109375" style="34" bestFit="1" customWidth="1"/>
    <col min="11" max="11" width="27.109375" style="34" customWidth="1"/>
    <col min="12" max="12" width="11.44140625" style="26"/>
    <col min="13" max="13" width="25.44140625" style="35" bestFit="1" customWidth="1"/>
    <col min="14" max="14" width="26.109375" style="35" bestFit="1" customWidth="1"/>
    <col min="15" max="15" width="26.109375" style="35" customWidth="1"/>
    <col min="16" max="16" width="17.6640625" style="26" customWidth="1"/>
    <col min="17" max="17" width="22.44140625" style="26" customWidth="1"/>
    <col min="18" max="18" width="19.88671875" style="26" bestFit="1" customWidth="1"/>
    <col min="19" max="19" width="11.44140625" style="26"/>
    <col min="20" max="20" width="32.6640625" style="26" bestFit="1" customWidth="1"/>
    <col min="21" max="21" width="22.44140625" style="26" bestFit="1" customWidth="1"/>
    <col min="22" max="22" width="27.33203125" style="26" bestFit="1" customWidth="1"/>
    <col min="23" max="25" width="11.44140625" style="26"/>
    <col min="26" max="26" width="19.44140625" style="26" bestFit="1" customWidth="1"/>
    <col min="27" max="28" width="11.44140625" style="26"/>
    <col min="29" max="29" width="21.5546875" style="26" bestFit="1" customWidth="1"/>
    <col min="30" max="16384" width="11.44140625" style="26"/>
  </cols>
  <sheetData>
    <row r="1" spans="1:29" ht="15.75" customHeight="1" x14ac:dyDescent="0.3">
      <c r="A1" s="36" t="s">
        <v>0</v>
      </c>
      <c r="B1" s="36" t="s">
        <v>1</v>
      </c>
      <c r="C1" s="36" t="s">
        <v>2</v>
      </c>
      <c r="D1" s="36" t="s">
        <v>479</v>
      </c>
      <c r="E1" s="36" t="s">
        <v>4</v>
      </c>
      <c r="F1" s="36" t="s">
        <v>5</v>
      </c>
      <c r="G1" s="36" t="s">
        <v>6</v>
      </c>
      <c r="H1" s="36" t="s">
        <v>206</v>
      </c>
      <c r="I1" s="36" t="s">
        <v>7</v>
      </c>
      <c r="J1" s="37" t="s">
        <v>8</v>
      </c>
      <c r="K1" s="37" t="s">
        <v>439</v>
      </c>
      <c r="L1" s="36" t="s">
        <v>9</v>
      </c>
      <c r="M1" s="38" t="s">
        <v>10</v>
      </c>
      <c r="N1" s="38" t="s">
        <v>11</v>
      </c>
      <c r="O1" s="38" t="s">
        <v>480</v>
      </c>
      <c r="P1" s="36" t="s">
        <v>12</v>
      </c>
      <c r="Q1" s="36" t="s">
        <v>13</v>
      </c>
      <c r="R1" s="36" t="s">
        <v>14</v>
      </c>
      <c r="S1" s="39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</row>
    <row r="2" spans="1:29" ht="15.75" customHeight="1" x14ac:dyDescent="0.3">
      <c r="A2" s="6">
        <v>1</v>
      </c>
      <c r="B2" s="6" t="s">
        <v>27</v>
      </c>
      <c r="C2" s="6" t="s">
        <v>269</v>
      </c>
      <c r="D2" s="6" t="s">
        <v>39</v>
      </c>
      <c r="E2" s="6" t="s">
        <v>169</v>
      </c>
      <c r="F2" s="6" t="s">
        <v>170</v>
      </c>
      <c r="G2" s="6" t="s">
        <v>171</v>
      </c>
      <c r="H2" s="6">
        <v>48</v>
      </c>
      <c r="I2" s="6" t="s">
        <v>32</v>
      </c>
      <c r="J2" s="40">
        <v>50000</v>
      </c>
      <c r="K2" s="40"/>
      <c r="L2" s="6">
        <v>80401382</v>
      </c>
      <c r="M2" s="27">
        <v>45288</v>
      </c>
      <c r="N2" s="27">
        <v>46749</v>
      </c>
      <c r="O2" s="56">
        <f>DATEDIF(M2, N2, "m")</f>
        <v>48</v>
      </c>
      <c r="P2" s="6" t="s">
        <v>33</v>
      </c>
      <c r="Q2" s="6" t="s">
        <v>34</v>
      </c>
      <c r="R2" s="6" t="s">
        <v>35</v>
      </c>
      <c r="S2" s="28">
        <v>0.26819999999999999</v>
      </c>
      <c r="T2" s="6" t="s">
        <v>172</v>
      </c>
      <c r="U2" s="6">
        <v>24.94</v>
      </c>
      <c r="V2" s="6">
        <v>4</v>
      </c>
      <c r="W2" s="6" t="s">
        <v>37</v>
      </c>
      <c r="X2" s="6" t="s">
        <v>37</v>
      </c>
      <c r="Y2" s="6" t="s">
        <v>37</v>
      </c>
      <c r="Z2" s="6">
        <v>10</v>
      </c>
      <c r="AA2" s="6" t="s">
        <v>37</v>
      </c>
      <c r="AB2" s="6" t="s">
        <v>37</v>
      </c>
      <c r="AC2" s="6" t="s">
        <v>38</v>
      </c>
    </row>
    <row r="3" spans="1:29" ht="15.75" customHeight="1" x14ac:dyDescent="0.3">
      <c r="A3" s="6">
        <v>2</v>
      </c>
      <c r="B3" s="6" t="s">
        <v>27</v>
      </c>
      <c r="C3" s="6" t="s">
        <v>269</v>
      </c>
      <c r="D3" s="6" t="s">
        <v>29</v>
      </c>
      <c r="E3" s="6" t="s">
        <v>173</v>
      </c>
      <c r="F3" s="6" t="s">
        <v>170</v>
      </c>
      <c r="G3" s="6" t="s">
        <v>174</v>
      </c>
      <c r="H3" s="6">
        <v>47</v>
      </c>
      <c r="I3" s="6" t="s">
        <v>32</v>
      </c>
      <c r="J3" s="40">
        <v>3000</v>
      </c>
      <c r="K3" s="60"/>
      <c r="L3" s="6">
        <v>25012150</v>
      </c>
      <c r="M3" s="27">
        <v>45288</v>
      </c>
      <c r="N3" s="27">
        <v>45836</v>
      </c>
      <c r="O3" s="56">
        <f>DATEDIF(M3, N3, "m")</f>
        <v>18</v>
      </c>
      <c r="P3" s="6" t="s">
        <v>33</v>
      </c>
      <c r="Q3" s="6" t="s">
        <v>175</v>
      </c>
      <c r="R3" s="6" t="s">
        <v>35</v>
      </c>
      <c r="S3" s="28">
        <v>0.49009999999999998</v>
      </c>
      <c r="T3" s="6" t="s">
        <v>176</v>
      </c>
      <c r="U3" s="6">
        <v>3</v>
      </c>
      <c r="V3" s="6">
        <v>1</v>
      </c>
      <c r="W3" s="6" t="s">
        <v>37</v>
      </c>
      <c r="X3" s="6" t="s">
        <v>37</v>
      </c>
      <c r="Y3" s="6" t="s">
        <v>37</v>
      </c>
      <c r="Z3" s="6">
        <v>5</v>
      </c>
      <c r="AA3" s="6" t="s">
        <v>37</v>
      </c>
      <c r="AB3" s="6" t="s">
        <v>37</v>
      </c>
      <c r="AC3" s="6" t="s">
        <v>38</v>
      </c>
    </row>
    <row r="4" spans="1:29" ht="15.75" customHeight="1" x14ac:dyDescent="0.3">
      <c r="A4" s="6">
        <v>3</v>
      </c>
      <c r="B4" s="6" t="s">
        <v>27</v>
      </c>
      <c r="C4" s="6" t="s">
        <v>269</v>
      </c>
      <c r="D4" s="6" t="s">
        <v>29</v>
      </c>
      <c r="E4" s="6" t="s">
        <v>177</v>
      </c>
      <c r="F4" s="6" t="s">
        <v>170</v>
      </c>
      <c r="G4" s="6" t="s">
        <v>178</v>
      </c>
      <c r="H4" s="6">
        <v>43</v>
      </c>
      <c r="I4" s="6" t="s">
        <v>32</v>
      </c>
      <c r="J4" s="40">
        <v>20000</v>
      </c>
      <c r="K4" s="40"/>
      <c r="L4" s="6">
        <v>40973753</v>
      </c>
      <c r="M4" s="27">
        <v>45288</v>
      </c>
      <c r="N4" s="27">
        <v>46023</v>
      </c>
      <c r="O4" s="56">
        <f>DATEDIF(M4, N4, "m")</f>
        <v>24</v>
      </c>
      <c r="P4" s="6" t="s">
        <v>33</v>
      </c>
      <c r="Q4" s="6" t="s">
        <v>179</v>
      </c>
      <c r="R4" s="6" t="s">
        <v>35</v>
      </c>
      <c r="S4" s="28">
        <v>0.28320000000000001</v>
      </c>
      <c r="T4" s="6" t="s">
        <v>180</v>
      </c>
      <c r="U4" s="6">
        <v>15</v>
      </c>
      <c r="V4" s="6">
        <v>2</v>
      </c>
      <c r="W4" s="6" t="s">
        <v>37</v>
      </c>
      <c r="X4" s="6" t="s">
        <v>37</v>
      </c>
      <c r="Y4" s="6" t="s">
        <v>37</v>
      </c>
      <c r="Z4" s="6">
        <v>6</v>
      </c>
      <c r="AA4" s="6" t="s">
        <v>37</v>
      </c>
      <c r="AB4" s="6" t="s">
        <v>37</v>
      </c>
      <c r="AC4" s="6" t="s">
        <v>38</v>
      </c>
    </row>
    <row r="5" spans="1:29" ht="15.75" customHeight="1" x14ac:dyDescent="0.3">
      <c r="A5" s="6">
        <v>4</v>
      </c>
      <c r="B5" s="6" t="s">
        <v>27</v>
      </c>
      <c r="C5" s="6" t="s">
        <v>269</v>
      </c>
      <c r="D5" s="6" t="s">
        <v>29</v>
      </c>
      <c r="E5" s="6" t="s">
        <v>181</v>
      </c>
      <c r="F5" s="6" t="s">
        <v>170</v>
      </c>
      <c r="G5" s="6" t="s">
        <v>182</v>
      </c>
      <c r="H5" s="6">
        <v>45</v>
      </c>
      <c r="I5" s="6" t="s">
        <v>46</v>
      </c>
      <c r="J5" s="40">
        <v>1000</v>
      </c>
      <c r="K5" s="40"/>
      <c r="L5" s="6">
        <v>42904898</v>
      </c>
      <c r="M5" s="27">
        <v>45288</v>
      </c>
      <c r="N5" s="27">
        <v>45658</v>
      </c>
      <c r="O5" s="56">
        <f>DATEDIF(M5, N5, "m")</f>
        <v>12</v>
      </c>
      <c r="P5" s="6" t="s">
        <v>33</v>
      </c>
      <c r="Q5" s="6" t="s">
        <v>164</v>
      </c>
      <c r="R5" s="6" t="s">
        <v>35</v>
      </c>
      <c r="S5" s="28">
        <v>0.37669999999999998</v>
      </c>
      <c r="T5" s="6" t="s">
        <v>183</v>
      </c>
      <c r="U5" s="6">
        <v>5</v>
      </c>
      <c r="V5" s="6">
        <v>1</v>
      </c>
      <c r="W5" s="6" t="s">
        <v>37</v>
      </c>
      <c r="X5" s="6" t="s">
        <v>37</v>
      </c>
      <c r="Y5" s="6" t="s">
        <v>37</v>
      </c>
      <c r="Z5" s="6">
        <v>6</v>
      </c>
      <c r="AA5" s="6" t="s">
        <v>37</v>
      </c>
      <c r="AB5" s="6" t="s">
        <v>37</v>
      </c>
      <c r="AC5" s="6" t="s">
        <v>38</v>
      </c>
    </row>
    <row r="6" spans="1:29" ht="15.75" customHeight="1" x14ac:dyDescent="0.3">
      <c r="A6" s="6">
        <v>5</v>
      </c>
      <c r="B6" s="6" t="s">
        <v>27</v>
      </c>
      <c r="C6" s="6" t="s">
        <v>269</v>
      </c>
      <c r="D6" s="6" t="s">
        <v>29</v>
      </c>
      <c r="E6" s="6" t="s">
        <v>184</v>
      </c>
      <c r="F6" s="6" t="s">
        <v>170</v>
      </c>
      <c r="G6" s="6" t="s">
        <v>185</v>
      </c>
      <c r="H6" s="6">
        <v>43</v>
      </c>
      <c r="I6" s="6" t="s">
        <v>32</v>
      </c>
      <c r="J6" s="40">
        <v>30000</v>
      </c>
      <c r="K6" s="40"/>
      <c r="L6" s="6">
        <v>42476104</v>
      </c>
      <c r="M6" s="27">
        <v>44931</v>
      </c>
      <c r="N6" s="27">
        <v>46754</v>
      </c>
      <c r="O6" s="56">
        <f>DATEDIF(M6, N6, "m")</f>
        <v>59</v>
      </c>
      <c r="P6" s="6" t="s">
        <v>33</v>
      </c>
      <c r="Q6" s="6" t="s">
        <v>34</v>
      </c>
      <c r="R6" s="6" t="s">
        <v>35</v>
      </c>
      <c r="S6" s="28">
        <v>0.25190000000000001</v>
      </c>
      <c r="T6" s="6" t="s">
        <v>186</v>
      </c>
      <c r="U6" s="6">
        <v>5</v>
      </c>
      <c r="V6" s="6">
        <v>1</v>
      </c>
      <c r="W6" s="6" t="s">
        <v>37</v>
      </c>
      <c r="X6" s="6" t="s">
        <v>37</v>
      </c>
      <c r="Y6" s="6" t="s">
        <v>37</v>
      </c>
      <c r="Z6" s="6">
        <v>10</v>
      </c>
      <c r="AA6" s="6" t="s">
        <v>37</v>
      </c>
      <c r="AB6" s="6" t="s">
        <v>37</v>
      </c>
      <c r="AC6" s="6" t="s">
        <v>38</v>
      </c>
    </row>
    <row r="7" spans="1:29" ht="15.75" customHeight="1" x14ac:dyDescent="0.3">
      <c r="A7" s="6">
        <v>6</v>
      </c>
      <c r="B7" s="6" t="s">
        <v>27</v>
      </c>
      <c r="C7" s="6" t="s">
        <v>269</v>
      </c>
      <c r="D7" s="6" t="s">
        <v>142</v>
      </c>
      <c r="E7" s="6" t="s">
        <v>187</v>
      </c>
      <c r="F7" s="6" t="s">
        <v>170</v>
      </c>
      <c r="G7" s="6" t="s">
        <v>188</v>
      </c>
      <c r="H7" s="6">
        <v>45</v>
      </c>
      <c r="I7" s="6" t="s">
        <v>46</v>
      </c>
      <c r="J7" s="40">
        <v>5000</v>
      </c>
      <c r="K7" s="40"/>
      <c r="L7" s="6">
        <v>40343713</v>
      </c>
      <c r="M7" s="27">
        <v>45300</v>
      </c>
      <c r="N7" s="27">
        <v>45660</v>
      </c>
      <c r="O7" s="56">
        <f>DATEDIF(M7, N7, "m")</f>
        <v>11</v>
      </c>
      <c r="P7" s="6" t="s">
        <v>33</v>
      </c>
      <c r="Q7" s="6" t="s">
        <v>151</v>
      </c>
      <c r="R7" s="6" t="s">
        <v>35</v>
      </c>
      <c r="S7" s="28">
        <v>0.33069999999999999</v>
      </c>
      <c r="T7" s="6" t="s">
        <v>189</v>
      </c>
      <c r="U7" s="6">
        <v>4</v>
      </c>
      <c r="V7" s="6">
        <v>2</v>
      </c>
      <c r="W7" s="6" t="s">
        <v>37</v>
      </c>
      <c r="X7" s="6" t="s">
        <v>37</v>
      </c>
      <c r="Y7" s="6" t="s">
        <v>37</v>
      </c>
      <c r="Z7" s="6">
        <v>10</v>
      </c>
      <c r="AA7" s="6" t="s">
        <v>37</v>
      </c>
      <c r="AB7" s="6" t="s">
        <v>37</v>
      </c>
      <c r="AC7" s="6" t="s">
        <v>38</v>
      </c>
    </row>
    <row r="8" spans="1:29" ht="15.75" customHeight="1" x14ac:dyDescent="0.3">
      <c r="A8" s="6">
        <v>7</v>
      </c>
      <c r="B8" s="6" t="s">
        <v>27</v>
      </c>
      <c r="C8" s="6" t="s">
        <v>269</v>
      </c>
      <c r="D8" s="6" t="s">
        <v>190</v>
      </c>
      <c r="E8" s="6" t="s">
        <v>191</v>
      </c>
      <c r="F8" s="6" t="s">
        <v>170</v>
      </c>
      <c r="G8" s="6" t="s">
        <v>192</v>
      </c>
      <c r="H8" s="6">
        <v>57</v>
      </c>
      <c r="I8" s="6" t="s">
        <v>46</v>
      </c>
      <c r="J8" s="40">
        <v>2500</v>
      </c>
      <c r="K8" s="40"/>
      <c r="L8" s="6">
        <v>24969889</v>
      </c>
      <c r="M8" s="27">
        <v>45301</v>
      </c>
      <c r="N8" s="27">
        <v>45660</v>
      </c>
      <c r="O8" s="56">
        <f>DATEDIF(M8, N8, "m")</f>
        <v>11</v>
      </c>
      <c r="P8" s="6" t="s">
        <v>33</v>
      </c>
      <c r="Q8" s="6" t="s">
        <v>164</v>
      </c>
      <c r="R8" s="6" t="s">
        <v>35</v>
      </c>
      <c r="S8" s="28">
        <v>0.37019999999999997</v>
      </c>
      <c r="T8" s="6" t="s">
        <v>193</v>
      </c>
      <c r="U8" s="6">
        <v>2</v>
      </c>
      <c r="V8" s="6">
        <v>1</v>
      </c>
      <c r="W8" s="6" t="s">
        <v>37</v>
      </c>
      <c r="X8" s="6" t="s">
        <v>37</v>
      </c>
      <c r="Y8" s="6" t="s">
        <v>37</v>
      </c>
      <c r="Z8" s="6">
        <v>10</v>
      </c>
      <c r="AA8" s="6" t="s">
        <v>37</v>
      </c>
      <c r="AB8" s="6" t="s">
        <v>37</v>
      </c>
      <c r="AC8" s="6" t="s">
        <v>38</v>
      </c>
    </row>
    <row r="9" spans="1:29" ht="15.75" customHeight="1" x14ac:dyDescent="0.3">
      <c r="A9" s="6">
        <v>8</v>
      </c>
      <c r="B9" s="6" t="s">
        <v>27</v>
      </c>
      <c r="C9" s="6" t="s">
        <v>269</v>
      </c>
      <c r="D9" s="6" t="s">
        <v>190</v>
      </c>
      <c r="E9" s="6" t="s">
        <v>194</v>
      </c>
      <c r="F9" s="6" t="s">
        <v>170</v>
      </c>
      <c r="G9" s="6" t="s">
        <v>195</v>
      </c>
      <c r="H9" s="6">
        <v>48</v>
      </c>
      <c r="I9" s="6" t="s">
        <v>46</v>
      </c>
      <c r="J9" s="40">
        <v>2000</v>
      </c>
      <c r="K9" s="40"/>
      <c r="L9" s="6">
        <v>25328719</v>
      </c>
      <c r="M9" s="27">
        <v>45313</v>
      </c>
      <c r="N9" s="27">
        <v>45673</v>
      </c>
      <c r="O9" s="56">
        <f>DATEDIF(M9, N9, "m")</f>
        <v>11</v>
      </c>
      <c r="P9" s="6" t="s">
        <v>33</v>
      </c>
      <c r="Q9" s="6" t="s">
        <v>164</v>
      </c>
      <c r="R9" s="6" t="s">
        <v>35</v>
      </c>
      <c r="S9" s="28">
        <v>0.37690000000000001</v>
      </c>
      <c r="T9" s="6" t="s">
        <v>196</v>
      </c>
      <c r="U9" s="6">
        <v>2</v>
      </c>
      <c r="V9" s="6">
        <v>1</v>
      </c>
      <c r="W9" s="6" t="s">
        <v>37</v>
      </c>
      <c r="X9" s="6" t="s">
        <v>37</v>
      </c>
      <c r="Y9" s="6" t="s">
        <v>37</v>
      </c>
      <c r="Z9" s="6">
        <v>5</v>
      </c>
      <c r="AA9" s="6" t="s">
        <v>37</v>
      </c>
      <c r="AB9" s="6" t="s">
        <v>37</v>
      </c>
      <c r="AC9" s="6" t="s">
        <v>38</v>
      </c>
    </row>
    <row r="10" spans="1:29" ht="15.75" customHeight="1" x14ac:dyDescent="0.3">
      <c r="A10" s="6">
        <v>9</v>
      </c>
      <c r="B10" s="6" t="s">
        <v>27</v>
      </c>
      <c r="C10" s="6" t="s">
        <v>269</v>
      </c>
      <c r="D10" s="6" t="s">
        <v>190</v>
      </c>
      <c r="E10" s="6" t="s">
        <v>197</v>
      </c>
      <c r="F10" s="6" t="s">
        <v>170</v>
      </c>
      <c r="G10" s="6" t="s">
        <v>198</v>
      </c>
      <c r="H10" s="6">
        <v>25</v>
      </c>
      <c r="I10" s="6" t="s">
        <v>46</v>
      </c>
      <c r="J10" s="40">
        <v>1000</v>
      </c>
      <c r="K10" s="40"/>
      <c r="L10" s="6">
        <v>76847088</v>
      </c>
      <c r="M10" s="27">
        <v>45313</v>
      </c>
      <c r="N10" s="27">
        <v>45679</v>
      </c>
      <c r="O10" s="56">
        <f>DATEDIF(M10, N10, "m")</f>
        <v>12</v>
      </c>
      <c r="P10" s="6" t="s">
        <v>33</v>
      </c>
      <c r="Q10" s="6" t="s">
        <v>164</v>
      </c>
      <c r="R10" s="6" t="s">
        <v>35</v>
      </c>
      <c r="S10" s="28">
        <v>0.37669999999999998</v>
      </c>
      <c r="T10" s="6" t="s">
        <v>199</v>
      </c>
      <c r="U10" s="6">
        <v>1</v>
      </c>
      <c r="V10" s="6">
        <v>1</v>
      </c>
      <c r="W10" s="6" t="s">
        <v>37</v>
      </c>
      <c r="X10" s="6" t="s">
        <v>37</v>
      </c>
      <c r="Y10" s="6" t="s">
        <v>37</v>
      </c>
      <c r="Z10" s="6">
        <v>3</v>
      </c>
      <c r="AA10" s="6" t="s">
        <v>37</v>
      </c>
      <c r="AB10" s="6" t="s">
        <v>37</v>
      </c>
      <c r="AC10" s="6" t="s">
        <v>38</v>
      </c>
    </row>
    <row r="11" spans="1:29" ht="15.75" customHeight="1" x14ac:dyDescent="0.3">
      <c r="A11" s="6">
        <v>10</v>
      </c>
      <c r="B11" s="6" t="s">
        <v>27</v>
      </c>
      <c r="C11" s="6" t="s">
        <v>269</v>
      </c>
      <c r="D11" s="6" t="s">
        <v>43</v>
      </c>
      <c r="E11" s="6" t="s">
        <v>200</v>
      </c>
      <c r="F11" s="6" t="s">
        <v>28</v>
      </c>
      <c r="G11" s="6" t="s">
        <v>201</v>
      </c>
      <c r="H11" s="6">
        <v>43</v>
      </c>
      <c r="I11" s="6" t="s">
        <v>46</v>
      </c>
      <c r="J11" s="40">
        <v>8000</v>
      </c>
      <c r="K11" s="40"/>
      <c r="L11" s="6">
        <v>24941971</v>
      </c>
      <c r="M11" s="27">
        <v>45329</v>
      </c>
      <c r="N11" s="27">
        <v>45512</v>
      </c>
      <c r="O11" s="56">
        <f>DATEDIF(M11, N11, "m")</f>
        <v>6</v>
      </c>
      <c r="P11" s="6" t="s">
        <v>33</v>
      </c>
      <c r="Q11" s="6" t="s">
        <v>34</v>
      </c>
      <c r="R11" s="6" t="s">
        <v>35</v>
      </c>
      <c r="S11" s="28">
        <v>0.36859999999999998</v>
      </c>
      <c r="T11" s="6" t="s">
        <v>202</v>
      </c>
      <c r="U11" s="6">
        <v>3</v>
      </c>
      <c r="V11" s="6">
        <v>3</v>
      </c>
      <c r="W11" s="6" t="s">
        <v>37</v>
      </c>
      <c r="X11" s="6" t="s">
        <v>37</v>
      </c>
      <c r="Y11" s="6" t="s">
        <v>37</v>
      </c>
      <c r="Z11" s="6">
        <v>5</v>
      </c>
      <c r="AA11" s="6" t="s">
        <v>37</v>
      </c>
      <c r="AB11" s="6" t="s">
        <v>37</v>
      </c>
      <c r="AC11" s="6" t="s">
        <v>38</v>
      </c>
    </row>
    <row r="12" spans="1:29" ht="15.75" customHeight="1" x14ac:dyDescent="0.3">
      <c r="A12" s="6">
        <v>11</v>
      </c>
      <c r="B12" s="6" t="s">
        <v>27</v>
      </c>
      <c r="C12" s="6" t="s">
        <v>246</v>
      </c>
      <c r="D12" s="6" t="s">
        <v>433</v>
      </c>
      <c r="E12" s="6" t="s">
        <v>98</v>
      </c>
      <c r="F12" s="6" t="s">
        <v>94</v>
      </c>
      <c r="G12" s="6" t="s">
        <v>95</v>
      </c>
      <c r="H12" s="6">
        <v>32</v>
      </c>
      <c r="I12" s="6" t="s">
        <v>46</v>
      </c>
      <c r="J12" s="40">
        <v>2000</v>
      </c>
      <c r="K12" s="40"/>
      <c r="L12" s="6">
        <v>47002066</v>
      </c>
      <c r="M12" s="27">
        <v>45375</v>
      </c>
      <c r="N12" s="27">
        <v>45741</v>
      </c>
      <c r="O12" s="56">
        <f>DATEDIF(M12, N12, "m")</f>
        <v>12</v>
      </c>
      <c r="P12" s="6" t="s">
        <v>33</v>
      </c>
      <c r="Q12" s="6" t="s">
        <v>34</v>
      </c>
      <c r="R12" s="6" t="s">
        <v>35</v>
      </c>
      <c r="S12" s="28">
        <v>0.3448</v>
      </c>
      <c r="T12" s="6" t="s">
        <v>96</v>
      </c>
      <c r="U12" s="6">
        <v>3</v>
      </c>
      <c r="V12" s="6">
        <v>3</v>
      </c>
      <c r="W12" s="6" t="s">
        <v>37</v>
      </c>
      <c r="X12" s="6" t="s">
        <v>37</v>
      </c>
      <c r="Y12" s="6" t="s">
        <v>37</v>
      </c>
      <c r="Z12" s="6">
        <v>5</v>
      </c>
      <c r="AA12" s="6" t="s">
        <v>37</v>
      </c>
      <c r="AB12" s="6" t="s">
        <v>37</v>
      </c>
      <c r="AC12" s="6" t="s">
        <v>80</v>
      </c>
    </row>
    <row r="13" spans="1:29" ht="15.75" customHeight="1" x14ac:dyDescent="0.3">
      <c r="A13" s="6">
        <v>12</v>
      </c>
      <c r="B13" s="6" t="s">
        <v>27</v>
      </c>
      <c r="C13" s="6" t="s">
        <v>269</v>
      </c>
      <c r="D13" s="6" t="s">
        <v>43</v>
      </c>
      <c r="E13" s="6" t="s">
        <v>203</v>
      </c>
      <c r="F13" s="6" t="s">
        <v>28</v>
      </c>
      <c r="G13" s="6" t="s">
        <v>204</v>
      </c>
      <c r="H13" s="6">
        <v>52</v>
      </c>
      <c r="I13" s="6" t="s">
        <v>46</v>
      </c>
      <c r="J13" s="40">
        <v>15000</v>
      </c>
      <c r="K13" s="40"/>
      <c r="L13" s="6">
        <v>23969077</v>
      </c>
      <c r="M13" s="27">
        <v>45329</v>
      </c>
      <c r="N13" s="27">
        <v>45879</v>
      </c>
      <c r="O13" s="56">
        <f>DATEDIF(M13, N13, "m")</f>
        <v>18</v>
      </c>
      <c r="P13" s="6" t="s">
        <v>33</v>
      </c>
      <c r="Q13" s="6" t="s">
        <v>34</v>
      </c>
      <c r="R13" s="6" t="s">
        <v>35</v>
      </c>
      <c r="S13" s="28">
        <v>0.2908</v>
      </c>
      <c r="T13" s="6" t="s">
        <v>205</v>
      </c>
      <c r="U13" s="6">
        <v>4</v>
      </c>
      <c r="V13" s="6">
        <v>3</v>
      </c>
      <c r="W13" s="6" t="s">
        <v>37</v>
      </c>
      <c r="X13" s="6" t="s">
        <v>37</v>
      </c>
      <c r="Y13" s="6" t="s">
        <v>37</v>
      </c>
      <c r="Z13" s="6">
        <v>5</v>
      </c>
      <c r="AA13" s="6" t="s">
        <v>37</v>
      </c>
      <c r="AB13" s="6" t="s">
        <v>37</v>
      </c>
      <c r="AC13" s="6" t="s">
        <v>80</v>
      </c>
    </row>
    <row r="14" spans="1:29" ht="15.75" customHeight="1" x14ac:dyDescent="0.3">
      <c r="A14" s="6">
        <v>13</v>
      </c>
      <c r="B14" s="6" t="s">
        <v>27</v>
      </c>
      <c r="C14" s="6" t="s">
        <v>269</v>
      </c>
      <c r="D14" s="6" t="s">
        <v>29</v>
      </c>
      <c r="E14" s="6" t="s">
        <v>30</v>
      </c>
      <c r="F14" s="6" t="s">
        <v>28</v>
      </c>
      <c r="G14" s="6" t="s">
        <v>31</v>
      </c>
      <c r="H14" s="6">
        <v>51</v>
      </c>
      <c r="I14" s="6" t="s">
        <v>32</v>
      </c>
      <c r="J14" s="40">
        <v>20000</v>
      </c>
      <c r="K14" s="40"/>
      <c r="L14" s="6">
        <v>24993979</v>
      </c>
      <c r="M14" s="27">
        <v>45355</v>
      </c>
      <c r="N14" s="27">
        <v>45715</v>
      </c>
      <c r="O14" s="56">
        <f>DATEDIF(M14, N14, "m")</f>
        <v>11</v>
      </c>
      <c r="P14" s="6" t="s">
        <v>33</v>
      </c>
      <c r="Q14" s="6" t="s">
        <v>34</v>
      </c>
      <c r="R14" s="6" t="s">
        <v>35</v>
      </c>
      <c r="S14" s="28">
        <v>0.2742</v>
      </c>
      <c r="T14" s="6" t="s">
        <v>36</v>
      </c>
      <c r="U14" s="6">
        <v>25</v>
      </c>
      <c r="V14" s="6">
        <v>5</v>
      </c>
      <c r="W14" s="6" t="s">
        <v>37</v>
      </c>
      <c r="X14" s="6" t="s">
        <v>37</v>
      </c>
      <c r="Y14" s="6" t="s">
        <v>37</v>
      </c>
      <c r="Z14" s="6">
        <v>8</v>
      </c>
      <c r="AA14" s="6" t="s">
        <v>37</v>
      </c>
      <c r="AB14" s="6" t="s">
        <v>37</v>
      </c>
      <c r="AC14" s="6" t="s">
        <v>38</v>
      </c>
    </row>
    <row r="15" spans="1:29" ht="15.75" customHeight="1" x14ac:dyDescent="0.3">
      <c r="A15" s="6">
        <v>14</v>
      </c>
      <c r="B15" s="6" t="s">
        <v>27</v>
      </c>
      <c r="C15" s="6" t="s">
        <v>269</v>
      </c>
      <c r="D15" s="6" t="s">
        <v>39</v>
      </c>
      <c r="E15" s="6" t="s">
        <v>40</v>
      </c>
      <c r="F15" s="6" t="s">
        <v>28</v>
      </c>
      <c r="G15" s="6" t="s">
        <v>41</v>
      </c>
      <c r="H15" s="6">
        <v>42</v>
      </c>
      <c r="I15" s="6" t="s">
        <v>32</v>
      </c>
      <c r="J15" s="40">
        <v>30000</v>
      </c>
      <c r="K15" s="40"/>
      <c r="L15" s="6">
        <v>42055740</v>
      </c>
      <c r="M15" s="27">
        <v>44994</v>
      </c>
      <c r="N15" s="27">
        <v>46440</v>
      </c>
      <c r="O15" s="56">
        <f>DATEDIF(M15, N15, "m")</f>
        <v>47</v>
      </c>
      <c r="P15" s="6" t="s">
        <v>33</v>
      </c>
      <c r="Q15" s="6" t="s">
        <v>34</v>
      </c>
      <c r="R15" s="6" t="s">
        <v>35</v>
      </c>
      <c r="S15" s="28">
        <v>0.2742</v>
      </c>
      <c r="T15" s="6" t="s">
        <v>42</v>
      </c>
      <c r="U15" s="6">
        <v>8</v>
      </c>
      <c r="V15" s="6">
        <v>3</v>
      </c>
      <c r="W15" s="6" t="s">
        <v>37</v>
      </c>
      <c r="X15" s="6" t="s">
        <v>37</v>
      </c>
      <c r="Y15" s="6" t="s">
        <v>37</v>
      </c>
      <c r="Z15" s="6">
        <v>10</v>
      </c>
      <c r="AA15" s="6" t="s">
        <v>37</v>
      </c>
      <c r="AB15" s="6" t="s">
        <v>37</v>
      </c>
      <c r="AC15" s="6" t="s">
        <v>38</v>
      </c>
    </row>
    <row r="16" spans="1:29" ht="15.75" customHeight="1" x14ac:dyDescent="0.3">
      <c r="A16" s="6">
        <v>15</v>
      </c>
      <c r="B16" s="6" t="s">
        <v>27</v>
      </c>
      <c r="C16" s="6" t="s">
        <v>269</v>
      </c>
      <c r="D16" s="6" t="s">
        <v>43</v>
      </c>
      <c r="E16" s="6" t="s">
        <v>44</v>
      </c>
      <c r="F16" s="6" t="s">
        <v>28</v>
      </c>
      <c r="G16" s="6" t="s">
        <v>45</v>
      </c>
      <c r="H16" s="6">
        <v>33</v>
      </c>
      <c r="I16" s="6" t="s">
        <v>46</v>
      </c>
      <c r="J16" s="40">
        <v>30000</v>
      </c>
      <c r="K16" s="40"/>
      <c r="L16" s="6">
        <v>48061352</v>
      </c>
      <c r="M16" s="27">
        <v>45365</v>
      </c>
      <c r="N16" s="27">
        <v>45735</v>
      </c>
      <c r="O16" s="56">
        <f>DATEDIF(M16, N16, "m")</f>
        <v>12</v>
      </c>
      <c r="P16" s="6" t="s">
        <v>33</v>
      </c>
      <c r="Q16" s="6" t="s">
        <v>34</v>
      </c>
      <c r="R16" s="6" t="s">
        <v>35</v>
      </c>
      <c r="S16" s="28">
        <v>0.25040000000000001</v>
      </c>
      <c r="T16" s="6" t="s">
        <v>47</v>
      </c>
      <c r="U16" s="6">
        <v>10</v>
      </c>
      <c r="V16" s="6">
        <v>4</v>
      </c>
      <c r="W16" s="6" t="s">
        <v>37</v>
      </c>
      <c r="X16" s="6" t="s">
        <v>37</v>
      </c>
      <c r="Y16" s="6" t="s">
        <v>37</v>
      </c>
      <c r="Z16" s="6">
        <v>5</v>
      </c>
      <c r="AA16" s="6" t="s">
        <v>37</v>
      </c>
      <c r="AB16" s="6" t="s">
        <v>37</v>
      </c>
      <c r="AC16" s="6" t="s">
        <v>38</v>
      </c>
    </row>
    <row r="17" spans="1:29" ht="15.75" customHeight="1" x14ac:dyDescent="0.3">
      <c r="A17" s="6">
        <v>16</v>
      </c>
      <c r="B17" s="6" t="s">
        <v>27</v>
      </c>
      <c r="C17" s="6" t="s">
        <v>269</v>
      </c>
      <c r="D17" s="6" t="s">
        <v>39</v>
      </c>
      <c r="E17" s="6" t="s">
        <v>48</v>
      </c>
      <c r="F17" s="6" t="s">
        <v>28</v>
      </c>
      <c r="G17" s="6" t="s">
        <v>49</v>
      </c>
      <c r="H17" s="6">
        <v>41</v>
      </c>
      <c r="I17" s="6" t="s">
        <v>46</v>
      </c>
      <c r="J17" s="40">
        <v>10000</v>
      </c>
      <c r="K17" s="40"/>
      <c r="L17" s="6">
        <v>42163419</v>
      </c>
      <c r="M17" s="27">
        <v>45363</v>
      </c>
      <c r="N17" s="27">
        <v>45728</v>
      </c>
      <c r="O17" s="56">
        <f>DATEDIF(M17, N17, "m")</f>
        <v>12</v>
      </c>
      <c r="P17" s="6" t="s">
        <v>33</v>
      </c>
      <c r="Q17" s="6" t="s">
        <v>34</v>
      </c>
      <c r="R17" s="6" t="s">
        <v>35</v>
      </c>
      <c r="S17" s="28">
        <v>0.2802</v>
      </c>
      <c r="T17" s="6" t="s">
        <v>50</v>
      </c>
      <c r="U17" s="6">
        <v>5</v>
      </c>
      <c r="V17" s="6">
        <v>3</v>
      </c>
      <c r="W17" s="6" t="s">
        <v>37</v>
      </c>
      <c r="X17" s="6" t="s">
        <v>37</v>
      </c>
      <c r="Y17" s="6" t="s">
        <v>37</v>
      </c>
      <c r="Z17" s="6">
        <v>6</v>
      </c>
      <c r="AA17" s="6" t="s">
        <v>37</v>
      </c>
      <c r="AB17" s="6" t="s">
        <v>37</v>
      </c>
      <c r="AC17" s="6" t="s">
        <v>38</v>
      </c>
    </row>
    <row r="18" spans="1:29" ht="15.75" customHeight="1" x14ac:dyDescent="0.3">
      <c r="A18" s="6">
        <v>17</v>
      </c>
      <c r="B18" s="6" t="s">
        <v>27</v>
      </c>
      <c r="C18" s="6" t="s">
        <v>269</v>
      </c>
      <c r="D18" s="6" t="s">
        <v>39</v>
      </c>
      <c r="E18" s="6" t="s">
        <v>51</v>
      </c>
      <c r="F18" s="6" t="s">
        <v>28</v>
      </c>
      <c r="G18" s="6" t="s">
        <v>52</v>
      </c>
      <c r="H18" s="6">
        <v>62</v>
      </c>
      <c r="I18" s="6" t="s">
        <v>32</v>
      </c>
      <c r="J18" s="40">
        <v>6000</v>
      </c>
      <c r="K18" s="40"/>
      <c r="L18" s="6">
        <v>24998121</v>
      </c>
      <c r="M18" s="27">
        <v>45316</v>
      </c>
      <c r="N18" s="27">
        <v>45496</v>
      </c>
      <c r="O18" s="56">
        <f>DATEDIF(M18, N18, "m")</f>
        <v>5</v>
      </c>
      <c r="P18" s="6" t="s">
        <v>53</v>
      </c>
      <c r="Q18" s="6" t="s">
        <v>34</v>
      </c>
      <c r="R18" s="6" t="s">
        <v>35</v>
      </c>
      <c r="S18" s="28">
        <v>0.3417</v>
      </c>
      <c r="T18" s="6" t="s">
        <v>54</v>
      </c>
      <c r="U18" s="6">
        <v>11</v>
      </c>
      <c r="V18" s="6">
        <v>4</v>
      </c>
      <c r="W18" s="6" t="s">
        <v>37</v>
      </c>
      <c r="X18" s="6" t="s">
        <v>37</v>
      </c>
      <c r="Y18" s="6" t="s">
        <v>37</v>
      </c>
      <c r="Z18" s="6">
        <v>10</v>
      </c>
      <c r="AA18" s="6" t="s">
        <v>37</v>
      </c>
      <c r="AB18" s="6" t="s">
        <v>37</v>
      </c>
      <c r="AC18" s="6" t="s">
        <v>38</v>
      </c>
    </row>
    <row r="19" spans="1:29" ht="15.75" customHeight="1" x14ac:dyDescent="0.3">
      <c r="A19" s="6">
        <v>18</v>
      </c>
      <c r="B19" s="6" t="s">
        <v>27</v>
      </c>
      <c r="C19" s="6" t="s">
        <v>269</v>
      </c>
      <c r="D19" s="6" t="s">
        <v>43</v>
      </c>
      <c r="E19" s="6" t="s">
        <v>55</v>
      </c>
      <c r="F19" s="6" t="s">
        <v>28</v>
      </c>
      <c r="G19" s="6" t="s">
        <v>56</v>
      </c>
      <c r="H19" s="6">
        <v>29</v>
      </c>
      <c r="I19" s="6" t="s">
        <v>46</v>
      </c>
      <c r="J19" s="40">
        <v>30000</v>
      </c>
      <c r="K19" s="40"/>
      <c r="L19" s="6">
        <v>71314803</v>
      </c>
      <c r="M19" s="27">
        <v>45313</v>
      </c>
      <c r="N19" s="27">
        <v>46393</v>
      </c>
      <c r="O19" s="56">
        <f>DATEDIF(M19, N19, "m")</f>
        <v>35</v>
      </c>
      <c r="P19" s="6" t="s">
        <v>33</v>
      </c>
      <c r="Q19" s="6" t="s">
        <v>34</v>
      </c>
      <c r="R19" s="6" t="s">
        <v>35</v>
      </c>
      <c r="S19" s="28">
        <v>0.25340000000000001</v>
      </c>
      <c r="T19" s="6" t="s">
        <v>57</v>
      </c>
      <c r="U19" s="6">
        <v>3</v>
      </c>
      <c r="V19" s="6">
        <v>2</v>
      </c>
      <c r="W19" s="6" t="s">
        <v>37</v>
      </c>
      <c r="X19" s="6" t="s">
        <v>37</v>
      </c>
      <c r="Y19" s="6" t="s">
        <v>37</v>
      </c>
      <c r="Z19" s="6">
        <v>12</v>
      </c>
      <c r="AA19" s="6" t="s">
        <v>37</v>
      </c>
      <c r="AB19" s="6" t="s">
        <v>37</v>
      </c>
      <c r="AC19" s="6" t="s">
        <v>38</v>
      </c>
    </row>
    <row r="20" spans="1:29" ht="15.75" customHeight="1" x14ac:dyDescent="0.3">
      <c r="A20" s="6">
        <v>19</v>
      </c>
      <c r="B20" s="6" t="s">
        <v>27</v>
      </c>
      <c r="C20" s="6" t="s">
        <v>269</v>
      </c>
      <c r="D20" s="6" t="s">
        <v>58</v>
      </c>
      <c r="E20" s="6" t="s">
        <v>59</v>
      </c>
      <c r="F20" s="6" t="s">
        <v>28</v>
      </c>
      <c r="G20" s="6" t="s">
        <v>60</v>
      </c>
      <c r="H20" s="6">
        <v>63</v>
      </c>
      <c r="I20" s="6" t="s">
        <v>32</v>
      </c>
      <c r="J20" s="40">
        <v>50000</v>
      </c>
      <c r="K20" s="40"/>
      <c r="L20" s="6">
        <v>24940437</v>
      </c>
      <c r="M20" s="27">
        <v>44945</v>
      </c>
      <c r="N20" s="27">
        <v>47111</v>
      </c>
      <c r="O20" s="56">
        <f>DATEDIF(M20, N20, "m")</f>
        <v>71</v>
      </c>
      <c r="P20" s="6" t="s">
        <v>53</v>
      </c>
      <c r="Q20" s="6" t="s">
        <v>34</v>
      </c>
      <c r="R20" s="6" t="s">
        <v>61</v>
      </c>
      <c r="S20" s="28">
        <v>0.2757</v>
      </c>
      <c r="T20" s="6" t="s">
        <v>62</v>
      </c>
      <c r="U20" s="6">
        <v>18</v>
      </c>
      <c r="V20" s="6">
        <v>12</v>
      </c>
      <c r="W20" s="6" t="s">
        <v>37</v>
      </c>
      <c r="X20" s="6" t="s">
        <v>37</v>
      </c>
      <c r="Y20" s="6" t="s">
        <v>37</v>
      </c>
      <c r="Z20" s="6">
        <v>5</v>
      </c>
      <c r="AA20" s="6" t="s">
        <v>37</v>
      </c>
      <c r="AB20" s="6" t="s">
        <v>37</v>
      </c>
      <c r="AC20" s="6" t="s">
        <v>38</v>
      </c>
    </row>
    <row r="21" spans="1:29" ht="15.75" customHeight="1" x14ac:dyDescent="0.3">
      <c r="A21" s="6">
        <v>20</v>
      </c>
      <c r="B21" s="6" t="s">
        <v>27</v>
      </c>
      <c r="C21" s="6" t="s">
        <v>269</v>
      </c>
      <c r="D21" s="6" t="s">
        <v>39</v>
      </c>
      <c r="E21" s="6" t="s">
        <v>63</v>
      </c>
      <c r="F21" s="6" t="s">
        <v>28</v>
      </c>
      <c r="G21" s="6" t="s">
        <v>64</v>
      </c>
      <c r="H21" s="6">
        <v>44</v>
      </c>
      <c r="I21" s="6" t="s">
        <v>32</v>
      </c>
      <c r="J21" s="40">
        <v>30000</v>
      </c>
      <c r="K21" s="40"/>
      <c r="L21" s="6">
        <v>41378591</v>
      </c>
      <c r="M21" s="27">
        <v>45307</v>
      </c>
      <c r="N21" s="27">
        <v>45667</v>
      </c>
      <c r="O21" s="56">
        <f>DATEDIF(M21, N21, "m")</f>
        <v>11</v>
      </c>
      <c r="P21" s="6" t="s">
        <v>33</v>
      </c>
      <c r="Q21" s="6" t="s">
        <v>34</v>
      </c>
      <c r="R21" s="6" t="s">
        <v>35</v>
      </c>
      <c r="S21" s="28">
        <v>0.25629999999999997</v>
      </c>
      <c r="T21" s="6" t="s">
        <v>65</v>
      </c>
      <c r="U21" s="6">
        <v>7</v>
      </c>
      <c r="V21" s="6">
        <v>4</v>
      </c>
      <c r="W21" s="6" t="s">
        <v>37</v>
      </c>
      <c r="X21" s="6" t="s">
        <v>37</v>
      </c>
      <c r="Y21" s="6" t="s">
        <v>37</v>
      </c>
      <c r="Z21" s="6">
        <v>8</v>
      </c>
      <c r="AA21" s="6" t="s">
        <v>37</v>
      </c>
      <c r="AB21" s="6" t="s">
        <v>37</v>
      </c>
      <c r="AC21" s="6" t="s">
        <v>38</v>
      </c>
    </row>
    <row r="22" spans="1:29" ht="15.75" customHeight="1" x14ac:dyDescent="0.3">
      <c r="A22" s="6">
        <v>21</v>
      </c>
      <c r="B22" s="6" t="s">
        <v>27</v>
      </c>
      <c r="C22" s="6" t="s">
        <v>269</v>
      </c>
      <c r="D22" s="6" t="s">
        <v>66</v>
      </c>
      <c r="E22" s="6" t="s">
        <v>67</v>
      </c>
      <c r="F22" s="6" t="s">
        <v>28</v>
      </c>
      <c r="G22" s="6" t="s">
        <v>68</v>
      </c>
      <c r="H22" s="6">
        <v>47</v>
      </c>
      <c r="I22" s="6" t="s">
        <v>46</v>
      </c>
      <c r="J22" s="40">
        <v>30000</v>
      </c>
      <c r="K22" s="40"/>
      <c r="L22" s="6">
        <v>25010315</v>
      </c>
      <c r="M22" s="27">
        <v>45378</v>
      </c>
      <c r="N22" s="27">
        <v>45470</v>
      </c>
      <c r="O22" s="56">
        <f>DATEDIF(M22, N22, "m")</f>
        <v>3</v>
      </c>
      <c r="P22" s="6" t="s">
        <v>33</v>
      </c>
      <c r="Q22" s="6" t="s">
        <v>34</v>
      </c>
      <c r="R22" s="6" t="s">
        <v>35</v>
      </c>
      <c r="S22" s="28">
        <v>0.26819999999999999</v>
      </c>
      <c r="T22" s="6" t="s">
        <v>69</v>
      </c>
      <c r="U22" s="6">
        <v>3</v>
      </c>
      <c r="V22" s="6">
        <v>3</v>
      </c>
      <c r="W22" s="6" t="s">
        <v>37</v>
      </c>
      <c r="X22" s="6" t="s">
        <v>37</v>
      </c>
      <c r="Y22" s="6" t="s">
        <v>37</v>
      </c>
      <c r="Z22" s="6">
        <v>7</v>
      </c>
      <c r="AA22" s="6" t="s">
        <v>37</v>
      </c>
      <c r="AB22" s="6" t="s">
        <v>37</v>
      </c>
      <c r="AC22" s="6" t="s">
        <v>38</v>
      </c>
    </row>
    <row r="23" spans="1:29" ht="15.75" customHeight="1" x14ac:dyDescent="0.3">
      <c r="A23" s="6">
        <v>22</v>
      </c>
      <c r="B23" s="6" t="s">
        <v>27</v>
      </c>
      <c r="C23" s="6" t="s">
        <v>269</v>
      </c>
      <c r="D23" s="6" t="s">
        <v>70</v>
      </c>
      <c r="E23" s="6" t="s">
        <v>71</v>
      </c>
      <c r="F23" s="6" t="s">
        <v>28</v>
      </c>
      <c r="G23" s="6" t="s">
        <v>72</v>
      </c>
      <c r="H23" s="6">
        <v>29</v>
      </c>
      <c r="I23" s="6" t="s">
        <v>32</v>
      </c>
      <c r="J23" s="40">
        <v>20000</v>
      </c>
      <c r="K23" s="40"/>
      <c r="L23" s="6">
        <v>72448141</v>
      </c>
      <c r="M23" s="27">
        <v>45376</v>
      </c>
      <c r="N23" s="27">
        <v>45741</v>
      </c>
      <c r="O23" s="56">
        <f>DATEDIF(M23, N23, "m")</f>
        <v>12</v>
      </c>
      <c r="P23" s="6" t="s">
        <v>33</v>
      </c>
      <c r="Q23" s="6" t="s">
        <v>34</v>
      </c>
      <c r="R23" s="6" t="s">
        <v>35</v>
      </c>
      <c r="S23" s="28">
        <v>0.26079999999999998</v>
      </c>
      <c r="T23" s="6" t="s">
        <v>73</v>
      </c>
      <c r="U23" s="6">
        <v>7</v>
      </c>
      <c r="V23" s="6">
        <v>5</v>
      </c>
      <c r="W23" s="6" t="s">
        <v>37</v>
      </c>
      <c r="X23" s="6" t="s">
        <v>37</v>
      </c>
      <c r="Y23" s="6" t="s">
        <v>37</v>
      </c>
      <c r="Z23" s="6">
        <v>5</v>
      </c>
      <c r="AA23" s="6" t="s">
        <v>37</v>
      </c>
      <c r="AB23" s="6" t="s">
        <v>37</v>
      </c>
      <c r="AC23" s="6" t="s">
        <v>38</v>
      </c>
    </row>
    <row r="24" spans="1:29" ht="15.75" customHeight="1" x14ac:dyDescent="0.3">
      <c r="A24" s="6">
        <v>23</v>
      </c>
      <c r="B24" s="6" t="s">
        <v>27</v>
      </c>
      <c r="C24" s="6" t="s">
        <v>269</v>
      </c>
      <c r="D24" s="6" t="s">
        <v>43</v>
      </c>
      <c r="E24" s="6" t="s">
        <v>74</v>
      </c>
      <c r="F24" s="6" t="s">
        <v>28</v>
      </c>
      <c r="G24" s="6" t="s">
        <v>75</v>
      </c>
      <c r="H24" s="6">
        <v>32</v>
      </c>
      <c r="I24" s="6" t="s">
        <v>46</v>
      </c>
      <c r="J24" s="40">
        <v>30000</v>
      </c>
      <c r="K24" s="40"/>
      <c r="L24" s="6">
        <v>47687141</v>
      </c>
      <c r="M24" s="27">
        <v>45394</v>
      </c>
      <c r="N24" s="27">
        <v>46474</v>
      </c>
      <c r="O24" s="56">
        <f>DATEDIF(M24, N24, "m")</f>
        <v>35</v>
      </c>
      <c r="P24" s="6" t="s">
        <v>33</v>
      </c>
      <c r="Q24" s="6" t="s">
        <v>34</v>
      </c>
      <c r="R24" s="6" t="s">
        <v>35</v>
      </c>
      <c r="S24" s="28">
        <v>0.26079999999999998</v>
      </c>
      <c r="T24" s="6" t="s">
        <v>76</v>
      </c>
      <c r="U24" s="6">
        <v>3</v>
      </c>
      <c r="V24" s="6">
        <v>2</v>
      </c>
      <c r="W24" s="6" t="s">
        <v>37</v>
      </c>
      <c r="X24" s="6" t="s">
        <v>37</v>
      </c>
      <c r="Y24" s="6" t="s">
        <v>37</v>
      </c>
      <c r="Z24" s="6">
        <v>5</v>
      </c>
      <c r="AA24" s="6" t="s">
        <v>37</v>
      </c>
      <c r="AB24" s="6" t="s">
        <v>37</v>
      </c>
      <c r="AC24" s="6" t="s">
        <v>38</v>
      </c>
    </row>
    <row r="25" spans="1:29" ht="15.75" customHeight="1" x14ac:dyDescent="0.3">
      <c r="A25" s="6">
        <v>24</v>
      </c>
      <c r="B25" s="6" t="s">
        <v>27</v>
      </c>
      <c r="C25" s="6" t="s">
        <v>269</v>
      </c>
      <c r="D25" s="6" t="s">
        <v>39</v>
      </c>
      <c r="E25" s="6" t="s">
        <v>77</v>
      </c>
      <c r="F25" s="6" t="s">
        <v>28</v>
      </c>
      <c r="G25" s="6" t="s">
        <v>78</v>
      </c>
      <c r="H25" s="6">
        <v>55</v>
      </c>
      <c r="I25" s="6" t="s">
        <v>32</v>
      </c>
      <c r="J25" s="40">
        <v>2500</v>
      </c>
      <c r="K25" s="40"/>
      <c r="L25" s="6">
        <v>23939809</v>
      </c>
      <c r="M25" s="27">
        <v>45384</v>
      </c>
      <c r="N25" s="27">
        <v>45749</v>
      </c>
      <c r="O25" s="56">
        <f>DATEDIF(M25, N25, "m")</f>
        <v>12</v>
      </c>
      <c r="P25" s="6" t="s">
        <v>33</v>
      </c>
      <c r="Q25" s="6" t="s">
        <v>34</v>
      </c>
      <c r="R25" s="6" t="s">
        <v>35</v>
      </c>
      <c r="S25" s="28">
        <v>0.3448</v>
      </c>
      <c r="T25" s="6" t="s">
        <v>79</v>
      </c>
      <c r="U25" s="6">
        <v>3</v>
      </c>
      <c r="V25" s="6">
        <v>2</v>
      </c>
      <c r="W25" s="6" t="s">
        <v>37</v>
      </c>
      <c r="X25" s="6" t="s">
        <v>37</v>
      </c>
      <c r="Y25" s="6" t="s">
        <v>37</v>
      </c>
      <c r="Z25" s="6">
        <v>4</v>
      </c>
      <c r="AA25" s="6" t="s">
        <v>37</v>
      </c>
      <c r="AB25" s="6" t="s">
        <v>37</v>
      </c>
      <c r="AC25" s="6" t="s">
        <v>80</v>
      </c>
    </row>
    <row r="26" spans="1:29" ht="15.75" customHeight="1" x14ac:dyDescent="0.3">
      <c r="A26" s="6">
        <v>25</v>
      </c>
      <c r="B26" s="6" t="s">
        <v>27</v>
      </c>
      <c r="C26" s="6" t="s">
        <v>269</v>
      </c>
      <c r="D26" s="6" t="s">
        <v>43</v>
      </c>
      <c r="E26" s="6" t="s">
        <v>81</v>
      </c>
      <c r="F26" s="6" t="s">
        <v>28</v>
      </c>
      <c r="G26" s="6" t="s">
        <v>82</v>
      </c>
      <c r="H26" s="6">
        <v>60</v>
      </c>
      <c r="I26" s="6" t="s">
        <v>32</v>
      </c>
      <c r="J26" s="40">
        <v>63000</v>
      </c>
      <c r="K26" s="40"/>
      <c r="L26" s="6">
        <v>24953763</v>
      </c>
      <c r="M26" s="27">
        <v>45386</v>
      </c>
      <c r="N26" s="27">
        <v>45741</v>
      </c>
      <c r="O26" s="56">
        <f>DATEDIF(M26, N26, "m")</f>
        <v>11</v>
      </c>
      <c r="P26" s="6" t="s">
        <v>33</v>
      </c>
      <c r="Q26" s="6" t="s">
        <v>34</v>
      </c>
      <c r="R26" s="6" t="s">
        <v>35</v>
      </c>
      <c r="S26" s="28">
        <v>0.26519999999999999</v>
      </c>
      <c r="T26" s="6" t="s">
        <v>83</v>
      </c>
      <c r="U26" s="6">
        <v>28</v>
      </c>
      <c r="V26" s="6">
        <v>20</v>
      </c>
      <c r="W26" s="6" t="s">
        <v>37</v>
      </c>
      <c r="X26" s="6" t="s">
        <v>37</v>
      </c>
      <c r="Y26" s="6" t="s">
        <v>37</v>
      </c>
      <c r="Z26" s="6">
        <v>5</v>
      </c>
      <c r="AA26" s="6" t="s">
        <v>37</v>
      </c>
      <c r="AB26" s="6" t="s">
        <v>37</v>
      </c>
      <c r="AC26" s="6" t="s">
        <v>38</v>
      </c>
    </row>
    <row r="27" spans="1:29" ht="15.75" customHeight="1" x14ac:dyDescent="0.3">
      <c r="A27" s="6">
        <v>26</v>
      </c>
      <c r="B27" s="6" t="s">
        <v>27</v>
      </c>
      <c r="C27" s="6" t="s">
        <v>269</v>
      </c>
      <c r="D27" s="6" t="s">
        <v>29</v>
      </c>
      <c r="E27" s="6" t="s">
        <v>84</v>
      </c>
      <c r="F27" s="6" t="s">
        <v>28</v>
      </c>
      <c r="G27" s="6" t="s">
        <v>85</v>
      </c>
      <c r="H27" s="6">
        <v>44</v>
      </c>
      <c r="I27" s="6" t="s">
        <v>32</v>
      </c>
      <c r="J27" s="40">
        <v>30000</v>
      </c>
      <c r="K27" s="40"/>
      <c r="L27" s="6">
        <v>41378591</v>
      </c>
      <c r="M27" s="27">
        <v>45307</v>
      </c>
      <c r="N27" s="27">
        <v>45667</v>
      </c>
      <c r="O27" s="56">
        <f>DATEDIF(M27, N27, "m")</f>
        <v>11</v>
      </c>
      <c r="P27" s="6" t="s">
        <v>33</v>
      </c>
      <c r="Q27" s="6" t="s">
        <v>34</v>
      </c>
      <c r="R27" s="6" t="s">
        <v>35</v>
      </c>
      <c r="S27" s="28">
        <v>0.25629999999999997</v>
      </c>
      <c r="T27" s="6" t="s">
        <v>86</v>
      </c>
      <c r="U27" s="6">
        <v>7</v>
      </c>
      <c r="V27" s="6">
        <v>4</v>
      </c>
      <c r="W27" s="6" t="s">
        <v>37</v>
      </c>
      <c r="X27" s="6" t="s">
        <v>37</v>
      </c>
      <c r="Y27" s="6" t="s">
        <v>37</v>
      </c>
      <c r="Z27" s="6">
        <v>5</v>
      </c>
      <c r="AA27" s="6" t="s">
        <v>37</v>
      </c>
      <c r="AB27" s="6" t="s">
        <v>37</v>
      </c>
      <c r="AC27" s="6" t="s">
        <v>38</v>
      </c>
    </row>
    <row r="28" spans="1:29" ht="15.75" customHeight="1" x14ac:dyDescent="0.3">
      <c r="A28" s="6">
        <v>27</v>
      </c>
      <c r="B28" s="6" t="s">
        <v>27</v>
      </c>
      <c r="C28" s="6" t="s">
        <v>269</v>
      </c>
      <c r="D28" s="6" t="s">
        <v>39</v>
      </c>
      <c r="E28" s="6" t="s">
        <v>87</v>
      </c>
      <c r="F28" s="6" t="s">
        <v>28</v>
      </c>
      <c r="G28" s="6" t="s">
        <v>88</v>
      </c>
      <c r="H28" s="6">
        <v>44</v>
      </c>
      <c r="I28" s="6" t="s">
        <v>32</v>
      </c>
      <c r="J28" s="40">
        <v>30000</v>
      </c>
      <c r="K28" s="40"/>
      <c r="L28" s="6">
        <v>42268874</v>
      </c>
      <c r="M28" s="27">
        <v>45394</v>
      </c>
      <c r="N28" s="27">
        <v>45754</v>
      </c>
      <c r="O28" s="56">
        <f>DATEDIF(M28, N28, "m")</f>
        <v>11</v>
      </c>
      <c r="P28" s="6" t="s">
        <v>89</v>
      </c>
      <c r="Q28" s="6" t="s">
        <v>34</v>
      </c>
      <c r="R28" s="6" t="s">
        <v>35</v>
      </c>
      <c r="S28" s="28">
        <v>0.26840000000000003</v>
      </c>
      <c r="T28" s="6" t="s">
        <v>90</v>
      </c>
      <c r="U28" s="6">
        <v>3</v>
      </c>
      <c r="V28" s="6">
        <v>1.5</v>
      </c>
      <c r="W28" s="6" t="s">
        <v>37</v>
      </c>
      <c r="X28" s="6" t="s">
        <v>37</v>
      </c>
      <c r="Y28" s="6" t="s">
        <v>37</v>
      </c>
      <c r="Z28" s="6">
        <v>10</v>
      </c>
      <c r="AA28" s="6" t="s">
        <v>37</v>
      </c>
      <c r="AB28" s="6" t="s">
        <v>37</v>
      </c>
      <c r="AC28" s="6" t="s">
        <v>38</v>
      </c>
    </row>
    <row r="29" spans="1:29" ht="15.75" customHeight="1" x14ac:dyDescent="0.3">
      <c r="A29" s="6">
        <v>28</v>
      </c>
      <c r="B29" s="6" t="s">
        <v>27</v>
      </c>
      <c r="C29" s="6" t="s">
        <v>269</v>
      </c>
      <c r="D29" s="6" t="s">
        <v>39</v>
      </c>
      <c r="E29" s="6" t="s">
        <v>91</v>
      </c>
      <c r="F29" s="6" t="s">
        <v>28</v>
      </c>
      <c r="G29" s="6" t="s">
        <v>92</v>
      </c>
      <c r="H29" s="6">
        <v>23</v>
      </c>
      <c r="I29" s="6" t="s">
        <v>46</v>
      </c>
      <c r="J29" s="40">
        <v>2000</v>
      </c>
      <c r="K29" s="40"/>
      <c r="L29" s="6">
        <v>73423584</v>
      </c>
      <c r="M29" s="27">
        <v>45397</v>
      </c>
      <c r="N29" s="27">
        <v>45757</v>
      </c>
      <c r="O29" s="56">
        <f>DATEDIF(M29, N29, "m")</f>
        <v>11</v>
      </c>
      <c r="P29" s="6" t="s">
        <v>33</v>
      </c>
      <c r="Q29" s="6" t="s">
        <v>34</v>
      </c>
      <c r="R29" s="6" t="s">
        <v>35</v>
      </c>
      <c r="S29" s="28">
        <v>0.3448</v>
      </c>
      <c r="T29" s="6" t="s">
        <v>93</v>
      </c>
      <c r="U29" s="6">
        <v>2</v>
      </c>
      <c r="V29" s="6">
        <v>2</v>
      </c>
      <c r="W29" s="6" t="s">
        <v>37</v>
      </c>
      <c r="X29" s="6" t="s">
        <v>37</v>
      </c>
      <c r="Y29" s="6" t="s">
        <v>37</v>
      </c>
      <c r="Z29" s="6">
        <v>6</v>
      </c>
      <c r="AA29" s="6" t="s">
        <v>37</v>
      </c>
      <c r="AB29" s="6" t="s">
        <v>37</v>
      </c>
      <c r="AC29" s="6" t="s">
        <v>38</v>
      </c>
    </row>
    <row r="30" spans="1:29" ht="15.75" customHeight="1" x14ac:dyDescent="0.3">
      <c r="A30" s="6">
        <v>29</v>
      </c>
      <c r="B30" s="6" t="s">
        <v>27</v>
      </c>
      <c r="C30" s="6" t="s">
        <v>269</v>
      </c>
      <c r="D30" s="6" t="s">
        <v>142</v>
      </c>
      <c r="E30" s="6" t="s">
        <v>117</v>
      </c>
      <c r="F30" s="6" t="s">
        <v>28</v>
      </c>
      <c r="G30" s="6" t="s">
        <v>143</v>
      </c>
      <c r="H30" s="6">
        <v>51</v>
      </c>
      <c r="I30" s="6" t="s">
        <v>46</v>
      </c>
      <c r="J30" s="40">
        <v>1000</v>
      </c>
      <c r="K30" s="40"/>
      <c r="L30" s="6">
        <v>25012348</v>
      </c>
      <c r="M30" s="27">
        <v>45355</v>
      </c>
      <c r="N30" s="27">
        <v>45720</v>
      </c>
      <c r="O30" s="56">
        <f>DATEDIF(M30, N30, "m")</f>
        <v>12</v>
      </c>
      <c r="P30" s="6" t="s">
        <v>33</v>
      </c>
      <c r="Q30" s="6" t="s">
        <v>34</v>
      </c>
      <c r="R30" s="6" t="s">
        <v>35</v>
      </c>
      <c r="S30" s="9">
        <v>0.3448</v>
      </c>
      <c r="T30" s="6" t="s">
        <v>144</v>
      </c>
      <c r="U30" s="6">
        <v>3</v>
      </c>
      <c r="V30" s="6">
        <v>3</v>
      </c>
      <c r="W30" s="6" t="s">
        <v>37</v>
      </c>
      <c r="X30" s="6" t="s">
        <v>37</v>
      </c>
      <c r="Y30" s="6" t="s">
        <v>37</v>
      </c>
      <c r="Z30" s="6">
        <v>10</v>
      </c>
      <c r="AA30" s="6" t="s">
        <v>37</v>
      </c>
      <c r="AB30" s="6" t="s">
        <v>37</v>
      </c>
      <c r="AC30" s="6" t="s">
        <v>80</v>
      </c>
    </row>
    <row r="31" spans="1:29" ht="15.75" customHeight="1" x14ac:dyDescent="0.3">
      <c r="A31" s="6">
        <v>30</v>
      </c>
      <c r="B31" s="6" t="s">
        <v>27</v>
      </c>
      <c r="C31" s="6" t="s">
        <v>269</v>
      </c>
      <c r="D31" s="6" t="s">
        <v>126</v>
      </c>
      <c r="E31" s="6" t="s">
        <v>145</v>
      </c>
      <c r="F31" s="6" t="s">
        <v>28</v>
      </c>
      <c r="G31" s="6" t="s">
        <v>146</v>
      </c>
      <c r="H31" s="6">
        <v>54</v>
      </c>
      <c r="I31" s="6" t="s">
        <v>46</v>
      </c>
      <c r="J31" s="40">
        <v>5000</v>
      </c>
      <c r="K31" s="40"/>
      <c r="L31" s="6">
        <v>24983605</v>
      </c>
      <c r="M31" s="27">
        <v>45358</v>
      </c>
      <c r="N31" s="27">
        <v>45723</v>
      </c>
      <c r="O31" s="56">
        <f>DATEDIF(M31, N31, "m")</f>
        <v>12</v>
      </c>
      <c r="P31" s="6" t="s">
        <v>33</v>
      </c>
      <c r="Q31" s="6" t="s">
        <v>34</v>
      </c>
      <c r="R31" s="6" t="s">
        <v>35</v>
      </c>
      <c r="S31" s="9">
        <v>0.47289999999999999</v>
      </c>
      <c r="T31" s="6" t="s">
        <v>147</v>
      </c>
      <c r="U31" s="6">
        <v>5</v>
      </c>
      <c r="V31" s="6">
        <v>4</v>
      </c>
      <c r="W31" s="6" t="s">
        <v>37</v>
      </c>
      <c r="X31" s="6" t="s">
        <v>37</v>
      </c>
      <c r="Y31" s="6" t="s">
        <v>37</v>
      </c>
      <c r="Z31" s="6">
        <v>12</v>
      </c>
      <c r="AA31" s="6" t="s">
        <v>37</v>
      </c>
      <c r="AB31" s="6" t="s">
        <v>37</v>
      </c>
      <c r="AC31" s="6" t="s">
        <v>38</v>
      </c>
    </row>
    <row r="32" spans="1:29" ht="15.75" customHeight="1" x14ac:dyDescent="0.3">
      <c r="A32" s="6">
        <v>31</v>
      </c>
      <c r="B32" s="6" t="s">
        <v>27</v>
      </c>
      <c r="C32" s="6" t="s">
        <v>269</v>
      </c>
      <c r="D32" s="6" t="s">
        <v>148</v>
      </c>
      <c r="E32" s="6" t="s">
        <v>149</v>
      </c>
      <c r="F32" s="6" t="s">
        <v>28</v>
      </c>
      <c r="G32" s="6" t="s">
        <v>150</v>
      </c>
      <c r="H32" s="6">
        <v>64</v>
      </c>
      <c r="I32" s="6" t="s">
        <v>32</v>
      </c>
      <c r="J32" s="40">
        <v>1500</v>
      </c>
      <c r="K32" s="40"/>
      <c r="L32" s="6">
        <v>24962579</v>
      </c>
      <c r="M32" s="27">
        <v>45358</v>
      </c>
      <c r="N32" s="27">
        <v>45723</v>
      </c>
      <c r="O32" s="56">
        <f>DATEDIF(M32, N32, "m")</f>
        <v>12</v>
      </c>
      <c r="P32" s="6" t="s">
        <v>33</v>
      </c>
      <c r="Q32" s="6" t="s">
        <v>151</v>
      </c>
      <c r="R32" s="6" t="s">
        <v>35</v>
      </c>
      <c r="S32" s="9">
        <v>0.3448</v>
      </c>
      <c r="T32" s="6" t="s">
        <v>152</v>
      </c>
      <c r="U32" s="6">
        <v>4</v>
      </c>
      <c r="V32" s="6">
        <v>4</v>
      </c>
      <c r="W32" s="6" t="s">
        <v>37</v>
      </c>
      <c r="X32" s="6" t="s">
        <v>37</v>
      </c>
      <c r="Y32" s="6" t="s">
        <v>37</v>
      </c>
      <c r="Z32" s="6">
        <v>8</v>
      </c>
      <c r="AA32" s="6" t="s">
        <v>37</v>
      </c>
      <c r="AB32" s="6" t="s">
        <v>37</v>
      </c>
      <c r="AC32" s="6" t="s">
        <v>38</v>
      </c>
    </row>
    <row r="33" spans="1:29" ht="15.75" customHeight="1" x14ac:dyDescent="0.3">
      <c r="A33" s="6">
        <v>32</v>
      </c>
      <c r="B33" s="6" t="s">
        <v>27</v>
      </c>
      <c r="C33" s="6" t="s">
        <v>269</v>
      </c>
      <c r="D33" s="6" t="s">
        <v>39</v>
      </c>
      <c r="E33" s="6" t="s">
        <v>123</v>
      </c>
      <c r="F33" s="6" t="s">
        <v>28</v>
      </c>
      <c r="G33" s="6" t="s">
        <v>153</v>
      </c>
      <c r="H33" s="6">
        <v>50</v>
      </c>
      <c r="I33" s="6" t="s">
        <v>32</v>
      </c>
      <c r="J33" s="40">
        <v>30000</v>
      </c>
      <c r="K33" s="40"/>
      <c r="L33" s="6">
        <v>24997836</v>
      </c>
      <c r="M33" s="27">
        <v>45359</v>
      </c>
      <c r="N33" s="27">
        <v>46820</v>
      </c>
      <c r="O33" s="56">
        <f>DATEDIF(M33, N33, "m")</f>
        <v>48</v>
      </c>
      <c r="P33" s="6" t="s">
        <v>53</v>
      </c>
      <c r="Q33" s="6" t="s">
        <v>151</v>
      </c>
      <c r="R33" s="6" t="s">
        <v>35</v>
      </c>
      <c r="S33" s="9">
        <v>0.2908</v>
      </c>
      <c r="T33" s="6" t="s">
        <v>154</v>
      </c>
      <c r="U33" s="6">
        <v>15</v>
      </c>
      <c r="V33" s="6">
        <v>7</v>
      </c>
      <c r="W33" s="6" t="s">
        <v>37</v>
      </c>
      <c r="X33" s="6" t="s">
        <v>37</v>
      </c>
      <c r="Y33" s="6" t="s">
        <v>37</v>
      </c>
      <c r="Z33" s="6">
        <v>13</v>
      </c>
      <c r="AA33" s="6" t="s">
        <v>37</v>
      </c>
      <c r="AB33" s="6" t="s">
        <v>37</v>
      </c>
      <c r="AC33" s="6" t="s">
        <v>38</v>
      </c>
    </row>
    <row r="34" spans="1:29" ht="15.75" customHeight="1" x14ac:dyDescent="0.3">
      <c r="A34" s="6">
        <v>33</v>
      </c>
      <c r="B34" s="6" t="s">
        <v>27</v>
      </c>
      <c r="C34" s="6" t="s">
        <v>269</v>
      </c>
      <c r="D34" s="6" t="s">
        <v>39</v>
      </c>
      <c r="E34" s="6" t="s">
        <v>155</v>
      </c>
      <c r="F34" s="6" t="s">
        <v>28</v>
      </c>
      <c r="G34" s="6" t="s">
        <v>156</v>
      </c>
      <c r="H34" s="6">
        <v>29</v>
      </c>
      <c r="I34" s="6" t="s">
        <v>46</v>
      </c>
      <c r="J34" s="40">
        <v>4000</v>
      </c>
      <c r="K34" s="40"/>
      <c r="L34" s="6">
        <v>63121545</v>
      </c>
      <c r="M34" s="27">
        <v>45359</v>
      </c>
      <c r="N34" s="27">
        <v>45731</v>
      </c>
      <c r="O34" s="56">
        <f>DATEDIF(M34, N34, "m")</f>
        <v>12</v>
      </c>
      <c r="P34" s="6" t="s">
        <v>33</v>
      </c>
      <c r="Q34" s="6" t="s">
        <v>151</v>
      </c>
      <c r="R34" s="6" t="s">
        <v>35</v>
      </c>
      <c r="S34" s="9">
        <v>0.33700000000000002</v>
      </c>
      <c r="T34" s="6" t="s">
        <v>157</v>
      </c>
      <c r="U34" s="6">
        <v>5</v>
      </c>
      <c r="V34" s="6">
        <v>4</v>
      </c>
      <c r="W34" s="6" t="s">
        <v>37</v>
      </c>
      <c r="X34" s="6" t="s">
        <v>37</v>
      </c>
      <c r="Y34" s="6" t="s">
        <v>37</v>
      </c>
      <c r="Z34" s="6">
        <v>6</v>
      </c>
      <c r="AA34" s="6" t="s">
        <v>37</v>
      </c>
      <c r="AB34" s="6" t="s">
        <v>37</v>
      </c>
      <c r="AC34" s="6" t="s">
        <v>80</v>
      </c>
    </row>
    <row r="35" spans="1:29" ht="15.75" customHeight="1" x14ac:dyDescent="0.3">
      <c r="A35" s="6">
        <v>34</v>
      </c>
      <c r="B35" s="6" t="s">
        <v>27</v>
      </c>
      <c r="C35" s="6" t="s">
        <v>269</v>
      </c>
      <c r="D35" s="6" t="s">
        <v>39</v>
      </c>
      <c r="E35" s="6" t="s">
        <v>158</v>
      </c>
      <c r="F35" s="6" t="s">
        <v>28</v>
      </c>
      <c r="G35" s="6" t="s">
        <v>159</v>
      </c>
      <c r="H35" s="6">
        <v>59</v>
      </c>
      <c r="I35" s="6" t="s">
        <v>32</v>
      </c>
      <c r="J35" s="40">
        <v>7000</v>
      </c>
      <c r="K35" s="40"/>
      <c r="L35" s="6">
        <v>24988697</v>
      </c>
      <c r="M35" s="27">
        <v>45366</v>
      </c>
      <c r="N35" s="27">
        <v>45726</v>
      </c>
      <c r="O35" s="56">
        <f>DATEDIF(M35, N35, "m")</f>
        <v>11</v>
      </c>
      <c r="P35" s="6" t="s">
        <v>33</v>
      </c>
      <c r="Q35" s="6" t="s">
        <v>151</v>
      </c>
      <c r="R35" s="6" t="s">
        <v>35</v>
      </c>
      <c r="S35" s="9">
        <v>0.33229999999999998</v>
      </c>
      <c r="T35" s="6" t="s">
        <v>160</v>
      </c>
      <c r="U35" s="6">
        <v>5.5</v>
      </c>
      <c r="V35" s="6">
        <v>5</v>
      </c>
      <c r="W35" s="6" t="s">
        <v>37</v>
      </c>
      <c r="X35" s="6" t="s">
        <v>37</v>
      </c>
      <c r="Y35" s="6" t="s">
        <v>37</v>
      </c>
      <c r="Z35" s="6">
        <v>15</v>
      </c>
      <c r="AA35" s="6" t="s">
        <v>37</v>
      </c>
      <c r="AB35" s="6" t="s">
        <v>37</v>
      </c>
      <c r="AC35" s="6" t="s">
        <v>38</v>
      </c>
    </row>
    <row r="36" spans="1:29" ht="15.75" customHeight="1" x14ac:dyDescent="0.3">
      <c r="A36" s="6">
        <v>35</v>
      </c>
      <c r="B36" s="6" t="s">
        <v>27</v>
      </c>
      <c r="C36" s="6" t="s">
        <v>269</v>
      </c>
      <c r="D36" s="6" t="s">
        <v>43</v>
      </c>
      <c r="E36" s="6" t="s">
        <v>161</v>
      </c>
      <c r="F36" s="6" t="s">
        <v>28</v>
      </c>
      <c r="G36" s="6" t="s">
        <v>207</v>
      </c>
      <c r="H36" s="6">
        <v>45</v>
      </c>
      <c r="I36" s="6" t="s">
        <v>46</v>
      </c>
      <c r="J36" s="40">
        <v>2500</v>
      </c>
      <c r="K36" s="40"/>
      <c r="L36" s="6">
        <v>40350437</v>
      </c>
      <c r="M36" s="27">
        <v>45362</v>
      </c>
      <c r="N36" s="27">
        <v>45727</v>
      </c>
      <c r="O36" s="56">
        <f>DATEDIF(M36, N36, "m")</f>
        <v>12</v>
      </c>
      <c r="P36" s="6" t="s">
        <v>33</v>
      </c>
      <c r="Q36" s="6" t="s">
        <v>151</v>
      </c>
      <c r="R36" s="6" t="s">
        <v>35</v>
      </c>
      <c r="S36" s="9">
        <v>0.3448</v>
      </c>
      <c r="T36" s="6" t="s">
        <v>162</v>
      </c>
      <c r="U36" s="6">
        <v>3</v>
      </c>
      <c r="V36" s="6">
        <v>3</v>
      </c>
      <c r="W36" s="6" t="s">
        <v>37</v>
      </c>
      <c r="X36" s="6" t="s">
        <v>37</v>
      </c>
      <c r="Y36" s="6" t="s">
        <v>37</v>
      </c>
      <c r="Z36" s="6">
        <v>11</v>
      </c>
      <c r="AA36" s="6" t="s">
        <v>37</v>
      </c>
      <c r="AB36" s="6" t="s">
        <v>37</v>
      </c>
      <c r="AC36" s="6" t="s">
        <v>80</v>
      </c>
    </row>
    <row r="37" spans="1:29" ht="15.75" customHeight="1" x14ac:dyDescent="0.3">
      <c r="A37" s="6">
        <v>36</v>
      </c>
      <c r="B37" s="6" t="s">
        <v>27</v>
      </c>
      <c r="C37" s="6" t="s">
        <v>269</v>
      </c>
      <c r="D37" s="6" t="s">
        <v>39</v>
      </c>
      <c r="E37" s="6" t="s">
        <v>99</v>
      </c>
      <c r="F37" s="6" t="s">
        <v>28</v>
      </c>
      <c r="G37" s="6" t="s">
        <v>163</v>
      </c>
      <c r="H37" s="6">
        <v>29</v>
      </c>
      <c r="I37" s="6" t="s">
        <v>46</v>
      </c>
      <c r="J37" s="40">
        <v>3000</v>
      </c>
      <c r="K37" s="40"/>
      <c r="L37" s="6">
        <v>71196664</v>
      </c>
      <c r="M37" s="27">
        <v>45365</v>
      </c>
      <c r="N37" s="27">
        <v>45730</v>
      </c>
      <c r="O37" s="56">
        <f>DATEDIF(M37, N37, "m")</f>
        <v>12</v>
      </c>
      <c r="P37" s="6" t="s">
        <v>33</v>
      </c>
      <c r="Q37" s="6" t="s">
        <v>164</v>
      </c>
      <c r="R37" s="6" t="s">
        <v>35</v>
      </c>
      <c r="S37" s="9">
        <v>0.33700000000000002</v>
      </c>
      <c r="T37" s="6" t="s">
        <v>165</v>
      </c>
      <c r="U37" s="6">
        <v>5</v>
      </c>
      <c r="V37" s="6">
        <v>2</v>
      </c>
      <c r="W37" s="6" t="s">
        <v>37</v>
      </c>
      <c r="X37" s="6" t="s">
        <v>37</v>
      </c>
      <c r="Y37" s="6" t="s">
        <v>37</v>
      </c>
      <c r="Z37" s="6">
        <v>17</v>
      </c>
      <c r="AA37" s="6" t="s">
        <v>37</v>
      </c>
      <c r="AB37" s="6" t="s">
        <v>37</v>
      </c>
      <c r="AC37" s="6" t="s">
        <v>80</v>
      </c>
    </row>
    <row r="38" spans="1:29" ht="15.75" customHeight="1" x14ac:dyDescent="0.3">
      <c r="A38" s="6">
        <v>37</v>
      </c>
      <c r="B38" s="6" t="s">
        <v>27</v>
      </c>
      <c r="C38" s="6" t="s">
        <v>269</v>
      </c>
      <c r="D38" s="6" t="s">
        <v>39</v>
      </c>
      <c r="E38" s="6" t="s">
        <v>166</v>
      </c>
      <c r="F38" s="6" t="s">
        <v>28</v>
      </c>
      <c r="G38" s="6" t="s">
        <v>167</v>
      </c>
      <c r="H38" s="6">
        <v>61</v>
      </c>
      <c r="I38" s="6" t="s">
        <v>32</v>
      </c>
      <c r="J38" s="40">
        <v>2000</v>
      </c>
      <c r="K38" s="40"/>
      <c r="L38" s="6">
        <v>24997995</v>
      </c>
      <c r="M38" s="27">
        <v>45341</v>
      </c>
      <c r="N38" s="27">
        <v>45529</v>
      </c>
      <c r="O38" s="56">
        <f>DATEDIF(M38, N38, "m")</f>
        <v>6</v>
      </c>
      <c r="P38" s="6" t="s">
        <v>33</v>
      </c>
      <c r="Q38" s="6" t="s">
        <v>34</v>
      </c>
      <c r="R38" s="6" t="s">
        <v>35</v>
      </c>
      <c r="S38" s="9">
        <v>0.4274</v>
      </c>
      <c r="T38" s="6" t="s">
        <v>168</v>
      </c>
      <c r="U38" s="6">
        <v>3</v>
      </c>
      <c r="V38" s="6">
        <v>3</v>
      </c>
      <c r="W38" s="6" t="s">
        <v>37</v>
      </c>
      <c r="X38" s="6" t="s">
        <v>37</v>
      </c>
      <c r="Y38" s="6" t="s">
        <v>37</v>
      </c>
      <c r="Z38" s="6">
        <v>13</v>
      </c>
      <c r="AA38" s="6" t="s">
        <v>37</v>
      </c>
      <c r="AB38" s="6" t="s">
        <v>37</v>
      </c>
      <c r="AC38" s="6" t="s">
        <v>80</v>
      </c>
    </row>
    <row r="39" spans="1:29" ht="15.75" customHeight="1" x14ac:dyDescent="0.3">
      <c r="A39" s="6">
        <v>38</v>
      </c>
      <c r="B39" s="6" t="s">
        <v>27</v>
      </c>
      <c r="C39" s="6" t="s">
        <v>269</v>
      </c>
      <c r="D39" s="6" t="s">
        <v>39</v>
      </c>
      <c r="E39" s="6" t="s">
        <v>99</v>
      </c>
      <c r="F39" s="6" t="s">
        <v>28</v>
      </c>
      <c r="G39" s="6" t="s">
        <v>100</v>
      </c>
      <c r="H39" s="6">
        <v>34</v>
      </c>
      <c r="I39" s="6" t="s">
        <v>46</v>
      </c>
      <c r="J39" s="40">
        <v>5000</v>
      </c>
      <c r="K39" s="40"/>
      <c r="L39" s="6">
        <v>46371126</v>
      </c>
      <c r="M39" s="27">
        <v>45338</v>
      </c>
      <c r="N39" s="27">
        <v>45705</v>
      </c>
      <c r="O39" s="56">
        <f>DATEDIF(M39, N39, "m")</f>
        <v>12</v>
      </c>
      <c r="P39" s="6" t="s">
        <v>33</v>
      </c>
      <c r="Q39" s="6" t="s">
        <v>34</v>
      </c>
      <c r="R39" s="6" t="s">
        <v>35</v>
      </c>
      <c r="S39" s="6">
        <v>0.33229999999999998</v>
      </c>
      <c r="T39" s="6" t="s">
        <v>101</v>
      </c>
      <c r="U39" s="6">
        <v>6</v>
      </c>
      <c r="V39" s="6">
        <v>4</v>
      </c>
      <c r="W39" s="6" t="s">
        <v>37</v>
      </c>
      <c r="X39" s="6" t="s">
        <v>37</v>
      </c>
      <c r="Y39" s="6" t="s">
        <v>37</v>
      </c>
      <c r="Z39" s="6">
        <v>6</v>
      </c>
      <c r="AA39" s="6" t="s">
        <v>37</v>
      </c>
      <c r="AB39" s="6" t="s">
        <v>37</v>
      </c>
      <c r="AC39" s="6" t="s">
        <v>38</v>
      </c>
    </row>
    <row r="40" spans="1:29" ht="15.75" customHeight="1" x14ac:dyDescent="0.3">
      <c r="A40" s="6">
        <v>39</v>
      </c>
      <c r="B40" s="6" t="s">
        <v>27</v>
      </c>
      <c r="C40" s="6" t="s">
        <v>269</v>
      </c>
      <c r="D40" s="6" t="s">
        <v>29</v>
      </c>
      <c r="E40" s="6" t="s">
        <v>102</v>
      </c>
      <c r="F40" s="6" t="s">
        <v>28</v>
      </c>
      <c r="G40" s="6" t="s">
        <v>103</v>
      </c>
      <c r="H40" s="6">
        <v>25</v>
      </c>
      <c r="I40" s="6" t="s">
        <v>32</v>
      </c>
      <c r="J40" s="40">
        <v>5000</v>
      </c>
      <c r="K40" s="40"/>
      <c r="L40" s="6">
        <v>76983784</v>
      </c>
      <c r="M40" s="27">
        <v>45391</v>
      </c>
      <c r="N40" s="27">
        <v>45756</v>
      </c>
      <c r="O40" s="56">
        <f>DATEDIF(M40, N40, "m")</f>
        <v>12</v>
      </c>
      <c r="P40" s="6" t="s">
        <v>33</v>
      </c>
      <c r="Q40" s="6" t="s">
        <v>34</v>
      </c>
      <c r="R40" s="6" t="s">
        <v>35</v>
      </c>
      <c r="S40" s="6">
        <v>0.33229999999999998</v>
      </c>
      <c r="T40" s="6" t="s">
        <v>104</v>
      </c>
      <c r="U40" s="6">
        <v>7</v>
      </c>
      <c r="V40" s="6">
        <v>5</v>
      </c>
      <c r="W40" s="6" t="s">
        <v>37</v>
      </c>
      <c r="X40" s="6" t="s">
        <v>37</v>
      </c>
      <c r="Y40" s="6" t="s">
        <v>37</v>
      </c>
      <c r="Z40" s="6">
        <v>8</v>
      </c>
      <c r="AA40" s="6" t="s">
        <v>37</v>
      </c>
      <c r="AB40" s="6" t="s">
        <v>37</v>
      </c>
      <c r="AC40" s="6" t="s">
        <v>38</v>
      </c>
    </row>
    <row r="41" spans="1:29" ht="15.75" customHeight="1" x14ac:dyDescent="0.3">
      <c r="A41" s="6">
        <v>40</v>
      </c>
      <c r="B41" s="6" t="s">
        <v>27</v>
      </c>
      <c r="C41" s="6" t="s">
        <v>269</v>
      </c>
      <c r="D41" s="6" t="s">
        <v>39</v>
      </c>
      <c r="E41" s="6" t="s">
        <v>105</v>
      </c>
      <c r="F41" s="6" t="s">
        <v>28</v>
      </c>
      <c r="G41" s="6" t="s">
        <v>106</v>
      </c>
      <c r="H41" s="6">
        <v>62</v>
      </c>
      <c r="I41" s="6" t="s">
        <v>32</v>
      </c>
      <c r="J41" s="40">
        <v>3000</v>
      </c>
      <c r="K41" s="40"/>
      <c r="L41" s="6">
        <v>24972730</v>
      </c>
      <c r="M41" s="27">
        <v>45377</v>
      </c>
      <c r="N41" s="27">
        <v>45737</v>
      </c>
      <c r="O41" s="56">
        <f>DATEDIF(M41, N41, "m")</f>
        <v>11</v>
      </c>
      <c r="P41" s="6" t="s">
        <v>33</v>
      </c>
      <c r="Q41" s="6" t="s">
        <v>34</v>
      </c>
      <c r="R41" s="6" t="s">
        <v>35</v>
      </c>
      <c r="S41" s="6">
        <v>0.33700000000000002</v>
      </c>
      <c r="T41" s="6" t="s">
        <v>107</v>
      </c>
      <c r="U41" s="6">
        <v>10</v>
      </c>
      <c r="V41" s="6">
        <v>3</v>
      </c>
      <c r="W41" s="6" t="s">
        <v>37</v>
      </c>
      <c r="X41" s="6" t="s">
        <v>37</v>
      </c>
      <c r="Y41" s="6" t="s">
        <v>37</v>
      </c>
      <c r="Z41" s="6">
        <v>15</v>
      </c>
      <c r="AA41" s="6" t="s">
        <v>37</v>
      </c>
      <c r="AB41" s="6" t="s">
        <v>37</v>
      </c>
      <c r="AC41" s="6" t="s">
        <v>80</v>
      </c>
    </row>
    <row r="42" spans="1:29" ht="15.75" customHeight="1" x14ac:dyDescent="0.3">
      <c r="A42" s="6">
        <v>41</v>
      </c>
      <c r="B42" s="6" t="s">
        <v>27</v>
      </c>
      <c r="C42" s="6" t="s">
        <v>269</v>
      </c>
      <c r="D42" s="6" t="s">
        <v>39</v>
      </c>
      <c r="E42" s="6" t="s">
        <v>108</v>
      </c>
      <c r="F42" s="6" t="s">
        <v>28</v>
      </c>
      <c r="G42" s="6" t="s">
        <v>109</v>
      </c>
      <c r="H42" s="6">
        <v>43</v>
      </c>
      <c r="I42" s="6" t="s">
        <v>32</v>
      </c>
      <c r="J42" s="40">
        <v>4000</v>
      </c>
      <c r="K42" s="40"/>
      <c r="L42" s="6">
        <v>43116798</v>
      </c>
      <c r="M42" s="27">
        <v>45411</v>
      </c>
      <c r="N42" s="27">
        <v>45606</v>
      </c>
      <c r="O42" s="56">
        <f>DATEDIF(M42, N42, "m")</f>
        <v>6</v>
      </c>
      <c r="P42" s="6" t="s">
        <v>33</v>
      </c>
      <c r="Q42" s="6" t="s">
        <v>34</v>
      </c>
      <c r="R42" s="6" t="s">
        <v>35</v>
      </c>
      <c r="S42" s="6">
        <v>0.33700000000000002</v>
      </c>
      <c r="T42" s="6" t="s">
        <v>110</v>
      </c>
      <c r="U42" s="6">
        <v>10</v>
      </c>
      <c r="V42" s="6">
        <v>4</v>
      </c>
      <c r="W42" s="6" t="s">
        <v>37</v>
      </c>
      <c r="X42" s="6" t="s">
        <v>37</v>
      </c>
      <c r="Y42" s="6" t="s">
        <v>37</v>
      </c>
      <c r="Z42" s="6">
        <v>10</v>
      </c>
      <c r="AA42" s="6" t="s">
        <v>37</v>
      </c>
      <c r="AB42" s="6" t="s">
        <v>37</v>
      </c>
      <c r="AC42" s="6" t="s">
        <v>38</v>
      </c>
    </row>
    <row r="43" spans="1:29" ht="15.75" customHeight="1" x14ac:dyDescent="0.3">
      <c r="A43" s="6">
        <v>42</v>
      </c>
      <c r="B43" s="6" t="s">
        <v>27</v>
      </c>
      <c r="C43" s="6" t="s">
        <v>269</v>
      </c>
      <c r="D43" s="6" t="s">
        <v>39</v>
      </c>
      <c r="E43" s="6" t="s">
        <v>111</v>
      </c>
      <c r="F43" s="6" t="s">
        <v>28</v>
      </c>
      <c r="G43" s="6" t="s">
        <v>112</v>
      </c>
      <c r="H43" s="6">
        <v>65</v>
      </c>
      <c r="I43" s="6" t="s">
        <v>46</v>
      </c>
      <c r="J43" s="40">
        <v>3000</v>
      </c>
      <c r="K43" s="40"/>
      <c r="L43" s="6">
        <v>24972730</v>
      </c>
      <c r="M43" s="27">
        <v>45377</v>
      </c>
      <c r="N43" s="27">
        <v>45737</v>
      </c>
      <c r="O43" s="56">
        <f>DATEDIF(M43, N43, "m")</f>
        <v>11</v>
      </c>
      <c r="P43" s="6" t="s">
        <v>33</v>
      </c>
      <c r="Q43" s="6" t="s">
        <v>34</v>
      </c>
      <c r="R43" s="6" t="s">
        <v>35</v>
      </c>
      <c r="S43" s="6">
        <v>0.33700000000000002</v>
      </c>
      <c r="T43" s="6" t="s">
        <v>113</v>
      </c>
      <c r="U43" s="6">
        <v>8</v>
      </c>
      <c r="V43" s="6">
        <v>5</v>
      </c>
      <c r="W43" s="6" t="s">
        <v>37</v>
      </c>
      <c r="X43" s="6" t="s">
        <v>37</v>
      </c>
      <c r="Y43" s="6" t="s">
        <v>37</v>
      </c>
      <c r="Z43" s="6">
        <v>5</v>
      </c>
      <c r="AA43" s="6" t="s">
        <v>37</v>
      </c>
      <c r="AB43" s="6" t="s">
        <v>37</v>
      </c>
      <c r="AC43" s="6" t="s">
        <v>80</v>
      </c>
    </row>
    <row r="44" spans="1:29" ht="15.75" customHeight="1" x14ac:dyDescent="0.3">
      <c r="A44" s="6">
        <v>43</v>
      </c>
      <c r="B44" s="6" t="s">
        <v>27</v>
      </c>
      <c r="C44" s="6" t="s">
        <v>269</v>
      </c>
      <c r="D44" s="6" t="s">
        <v>39</v>
      </c>
      <c r="E44" s="6" t="s">
        <v>114</v>
      </c>
      <c r="F44" s="6" t="s">
        <v>28</v>
      </c>
      <c r="G44" s="6" t="s">
        <v>115</v>
      </c>
      <c r="H44" s="6">
        <v>49</v>
      </c>
      <c r="I44" s="6" t="s">
        <v>46</v>
      </c>
      <c r="J44" s="40">
        <v>1500</v>
      </c>
      <c r="K44" s="40"/>
      <c r="L44" s="6">
        <v>10387241</v>
      </c>
      <c r="M44" s="27">
        <v>45391</v>
      </c>
      <c r="N44" s="27">
        <v>45756</v>
      </c>
      <c r="O44" s="56">
        <f>DATEDIF(M44, N44, "m")</f>
        <v>12</v>
      </c>
      <c r="P44" s="6" t="s">
        <v>33</v>
      </c>
      <c r="Q44" s="6" t="s">
        <v>34</v>
      </c>
      <c r="R44" s="6" t="s">
        <v>35</v>
      </c>
      <c r="S44" s="6">
        <v>0.3448</v>
      </c>
      <c r="T44" s="6" t="s">
        <v>116</v>
      </c>
      <c r="U44" s="6">
        <v>5</v>
      </c>
      <c r="V44" s="6">
        <v>3</v>
      </c>
      <c r="W44" s="6" t="s">
        <v>37</v>
      </c>
      <c r="X44" s="6" t="s">
        <v>37</v>
      </c>
      <c r="Y44" s="6" t="s">
        <v>37</v>
      </c>
      <c r="Z44" s="6">
        <v>10</v>
      </c>
      <c r="AA44" s="6" t="s">
        <v>37</v>
      </c>
      <c r="AB44" s="6" t="s">
        <v>37</v>
      </c>
      <c r="AC44" s="6" t="s">
        <v>80</v>
      </c>
    </row>
    <row r="45" spans="1:29" ht="15.75" customHeight="1" x14ac:dyDescent="0.3">
      <c r="A45" s="6">
        <v>44</v>
      </c>
      <c r="B45" s="6" t="s">
        <v>27</v>
      </c>
      <c r="C45" s="6" t="s">
        <v>269</v>
      </c>
      <c r="D45" s="6" t="s">
        <v>43</v>
      </c>
      <c r="E45" s="6" t="s">
        <v>117</v>
      </c>
      <c r="F45" s="6" t="s">
        <v>28</v>
      </c>
      <c r="G45" s="6" t="s">
        <v>118</v>
      </c>
      <c r="H45" s="6">
        <v>33</v>
      </c>
      <c r="I45" s="6" t="s">
        <v>32</v>
      </c>
      <c r="J45" s="40">
        <v>1000</v>
      </c>
      <c r="K45" s="40"/>
      <c r="L45" s="6">
        <v>47015418</v>
      </c>
      <c r="M45" s="27">
        <v>45397</v>
      </c>
      <c r="N45" s="27">
        <v>45778</v>
      </c>
      <c r="O45" s="56">
        <f>DATEDIF(M45, N45, "m")</f>
        <v>12</v>
      </c>
      <c r="P45" s="6" t="s">
        <v>33</v>
      </c>
      <c r="Q45" s="6" t="s">
        <v>34</v>
      </c>
      <c r="R45" s="6" t="s">
        <v>35</v>
      </c>
      <c r="S45" s="6">
        <v>0.33229999999999998</v>
      </c>
      <c r="T45" s="6" t="s">
        <v>119</v>
      </c>
      <c r="U45" s="6">
        <v>5</v>
      </c>
      <c r="V45" s="6">
        <v>4</v>
      </c>
      <c r="W45" s="6" t="s">
        <v>37</v>
      </c>
      <c r="X45" s="6" t="s">
        <v>37</v>
      </c>
      <c r="Y45" s="6" t="s">
        <v>37</v>
      </c>
      <c r="Z45" s="6">
        <v>15</v>
      </c>
      <c r="AA45" s="6" t="s">
        <v>37</v>
      </c>
      <c r="AB45" s="6" t="s">
        <v>37</v>
      </c>
      <c r="AC45" s="6" t="s">
        <v>38</v>
      </c>
    </row>
    <row r="46" spans="1:29" ht="15.75" customHeight="1" x14ac:dyDescent="0.3">
      <c r="A46" s="6">
        <v>45</v>
      </c>
      <c r="B46" s="6" t="s">
        <v>27</v>
      </c>
      <c r="C46" s="6" t="s">
        <v>269</v>
      </c>
      <c r="D46" s="6" t="s">
        <v>39</v>
      </c>
      <c r="E46" s="6" t="s">
        <v>120</v>
      </c>
      <c r="F46" s="6" t="s">
        <v>28</v>
      </c>
      <c r="G46" s="6" t="s">
        <v>121</v>
      </c>
      <c r="H46" s="6">
        <v>63</v>
      </c>
      <c r="I46" s="6" t="s">
        <v>32</v>
      </c>
      <c r="J46" s="40">
        <v>1000</v>
      </c>
      <c r="K46" s="40"/>
      <c r="L46" s="6">
        <v>24985530</v>
      </c>
      <c r="M46" s="27">
        <v>45334</v>
      </c>
      <c r="N46" s="27">
        <v>45704</v>
      </c>
      <c r="O46" s="56">
        <f>DATEDIF(M46, N46, "m")</f>
        <v>12</v>
      </c>
      <c r="P46" s="6" t="s">
        <v>33</v>
      </c>
      <c r="Q46" s="6" t="s">
        <v>34</v>
      </c>
      <c r="R46" s="6" t="s">
        <v>35</v>
      </c>
      <c r="S46" s="6">
        <v>0.3448</v>
      </c>
      <c r="T46" s="6" t="s">
        <v>122</v>
      </c>
      <c r="U46" s="6">
        <v>6</v>
      </c>
      <c r="V46" s="6">
        <v>2</v>
      </c>
      <c r="W46" s="6" t="s">
        <v>37</v>
      </c>
      <c r="X46" s="6" t="s">
        <v>37</v>
      </c>
      <c r="Y46" s="6" t="s">
        <v>37</v>
      </c>
      <c r="Z46" s="6">
        <v>10</v>
      </c>
      <c r="AA46" s="6" t="s">
        <v>37</v>
      </c>
      <c r="AB46" s="6" t="s">
        <v>37</v>
      </c>
      <c r="AC46" s="6" t="s">
        <v>80</v>
      </c>
    </row>
    <row r="47" spans="1:29" ht="15.75" customHeight="1" x14ac:dyDescent="0.3">
      <c r="A47" s="6">
        <v>46</v>
      </c>
      <c r="B47" s="6" t="s">
        <v>27</v>
      </c>
      <c r="C47" s="6" t="s">
        <v>269</v>
      </c>
      <c r="D47" s="6" t="s">
        <v>39</v>
      </c>
      <c r="E47" s="6" t="s">
        <v>123</v>
      </c>
      <c r="F47" s="6" t="s">
        <v>28</v>
      </c>
      <c r="G47" s="6" t="s">
        <v>124</v>
      </c>
      <c r="H47" s="6">
        <v>31</v>
      </c>
      <c r="I47" s="6" t="s">
        <v>32</v>
      </c>
      <c r="J47" s="40">
        <v>15000</v>
      </c>
      <c r="K47" s="40"/>
      <c r="L47" s="6">
        <v>48503551</v>
      </c>
      <c r="M47" s="27">
        <v>45394</v>
      </c>
      <c r="N47" s="27">
        <v>45943</v>
      </c>
      <c r="O47" s="56">
        <f>DATEDIF(M47, N47, "m")</f>
        <v>18</v>
      </c>
      <c r="P47" s="6" t="s">
        <v>33</v>
      </c>
      <c r="Q47" s="6" t="s">
        <v>34</v>
      </c>
      <c r="R47" s="6" t="s">
        <v>35</v>
      </c>
      <c r="S47" s="6">
        <v>0.2908</v>
      </c>
      <c r="T47" s="6" t="s">
        <v>125</v>
      </c>
      <c r="U47" s="6">
        <v>10</v>
      </c>
      <c r="V47" s="6">
        <v>6</v>
      </c>
      <c r="W47" s="6" t="s">
        <v>37</v>
      </c>
      <c r="X47" s="6" t="s">
        <v>37</v>
      </c>
      <c r="Y47" s="6" t="s">
        <v>37</v>
      </c>
      <c r="Z47" s="6">
        <v>5</v>
      </c>
      <c r="AA47" s="6" t="s">
        <v>37</v>
      </c>
      <c r="AB47" s="6" t="s">
        <v>37</v>
      </c>
      <c r="AC47" s="6" t="s">
        <v>38</v>
      </c>
    </row>
    <row r="48" spans="1:29" ht="15.75" customHeight="1" x14ac:dyDescent="0.3">
      <c r="A48" s="6">
        <v>47</v>
      </c>
      <c r="B48" s="5" t="s">
        <v>27</v>
      </c>
      <c r="C48" s="6" t="s">
        <v>269</v>
      </c>
      <c r="D48" s="6" t="s">
        <v>126</v>
      </c>
      <c r="E48" s="6" t="s">
        <v>127</v>
      </c>
      <c r="F48" s="7" t="s">
        <v>28</v>
      </c>
      <c r="G48" s="6" t="s">
        <v>128</v>
      </c>
      <c r="H48" s="6">
        <v>59</v>
      </c>
      <c r="I48" s="6" t="s">
        <v>46</v>
      </c>
      <c r="J48" s="41">
        <v>10000</v>
      </c>
      <c r="K48" s="41"/>
      <c r="L48" s="7">
        <v>25005850</v>
      </c>
      <c r="M48" s="29">
        <v>45332</v>
      </c>
      <c r="N48" s="29">
        <v>45698</v>
      </c>
      <c r="O48" s="56">
        <f>DATEDIF(M48, N48, "m")</f>
        <v>12</v>
      </c>
      <c r="P48" s="5" t="s">
        <v>33</v>
      </c>
      <c r="Q48" s="8" t="s">
        <v>34</v>
      </c>
      <c r="R48" s="6" t="s">
        <v>35</v>
      </c>
      <c r="S48" s="9">
        <v>0.28770000000000001</v>
      </c>
      <c r="T48" s="6" t="s">
        <v>129</v>
      </c>
      <c r="U48" s="5">
        <v>8.5</v>
      </c>
      <c r="V48" s="5">
        <v>6</v>
      </c>
      <c r="W48" s="5" t="s">
        <v>37</v>
      </c>
      <c r="X48" s="5" t="s">
        <v>37</v>
      </c>
      <c r="Y48" s="5" t="s">
        <v>37</v>
      </c>
      <c r="Z48" s="5">
        <v>4</v>
      </c>
      <c r="AA48" s="10" t="s">
        <v>37</v>
      </c>
      <c r="AB48" s="10" t="s">
        <v>37</v>
      </c>
      <c r="AC48" s="6" t="s">
        <v>38</v>
      </c>
    </row>
    <row r="49" spans="1:29" ht="15.75" customHeight="1" x14ac:dyDescent="0.3">
      <c r="A49" s="6">
        <v>48</v>
      </c>
      <c r="B49" s="5" t="s">
        <v>27</v>
      </c>
      <c r="C49" s="6" t="s">
        <v>269</v>
      </c>
      <c r="D49" s="6" t="s">
        <v>29</v>
      </c>
      <c r="E49" s="11" t="s">
        <v>130</v>
      </c>
      <c r="F49" s="6" t="s">
        <v>28</v>
      </c>
      <c r="G49" s="6" t="s">
        <v>131</v>
      </c>
      <c r="H49" s="6">
        <v>39</v>
      </c>
      <c r="I49" s="6" t="s">
        <v>46</v>
      </c>
      <c r="J49" s="41">
        <v>2000</v>
      </c>
      <c r="K49" s="41"/>
      <c r="L49" s="7">
        <v>43155501</v>
      </c>
      <c r="M49" s="29">
        <v>45381</v>
      </c>
      <c r="N49" s="29">
        <v>45749</v>
      </c>
      <c r="O49" s="56">
        <f>DATEDIF(M49, N49, "m")</f>
        <v>12</v>
      </c>
      <c r="P49" s="6" t="s">
        <v>33</v>
      </c>
      <c r="Q49" s="8" t="s">
        <v>34</v>
      </c>
      <c r="R49" s="6" t="s">
        <v>35</v>
      </c>
      <c r="S49" s="9">
        <v>0.3448</v>
      </c>
      <c r="T49" s="6" t="s">
        <v>132</v>
      </c>
      <c r="U49" s="5">
        <v>1.5</v>
      </c>
      <c r="V49" s="5">
        <v>1.5</v>
      </c>
      <c r="W49" s="5" t="s">
        <v>37</v>
      </c>
      <c r="X49" s="5" t="s">
        <v>37</v>
      </c>
      <c r="Y49" s="5" t="s">
        <v>37</v>
      </c>
      <c r="Z49" s="6">
        <v>5</v>
      </c>
      <c r="AA49" s="5" t="s">
        <v>37</v>
      </c>
      <c r="AB49" s="5" t="s">
        <v>37</v>
      </c>
      <c r="AC49" s="6" t="s">
        <v>38</v>
      </c>
    </row>
    <row r="50" spans="1:29" ht="15.75" customHeight="1" x14ac:dyDescent="0.3">
      <c r="A50" s="6">
        <v>49</v>
      </c>
      <c r="B50" s="5" t="s">
        <v>27</v>
      </c>
      <c r="C50" s="6" t="s">
        <v>269</v>
      </c>
      <c r="D50" s="6" t="s">
        <v>29</v>
      </c>
      <c r="E50" s="6" t="s">
        <v>133</v>
      </c>
      <c r="F50" s="6" t="s">
        <v>28</v>
      </c>
      <c r="G50" s="6" t="s">
        <v>134</v>
      </c>
      <c r="H50" s="6">
        <v>58</v>
      </c>
      <c r="I50" s="6" t="s">
        <v>46</v>
      </c>
      <c r="J50" s="41">
        <v>3000</v>
      </c>
      <c r="K50" s="41"/>
      <c r="L50" s="7">
        <v>24956468</v>
      </c>
      <c r="M50" s="29">
        <v>45376</v>
      </c>
      <c r="N50" s="29">
        <v>45736</v>
      </c>
      <c r="O50" s="56">
        <f>DATEDIF(M50, N50, "m")</f>
        <v>11</v>
      </c>
      <c r="P50" s="6" t="s">
        <v>33</v>
      </c>
      <c r="Q50" s="8" t="s">
        <v>34</v>
      </c>
      <c r="R50" s="6" t="s">
        <v>35</v>
      </c>
      <c r="S50" s="9">
        <v>0.33700000000000002</v>
      </c>
      <c r="T50" s="6" t="s">
        <v>135</v>
      </c>
      <c r="U50" s="6">
        <v>2</v>
      </c>
      <c r="V50" s="6">
        <v>2</v>
      </c>
      <c r="W50" s="5" t="s">
        <v>37</v>
      </c>
      <c r="X50" s="5" t="s">
        <v>37</v>
      </c>
      <c r="Y50" s="5" t="s">
        <v>37</v>
      </c>
      <c r="Z50" s="6">
        <v>20</v>
      </c>
      <c r="AA50" s="5" t="s">
        <v>37</v>
      </c>
      <c r="AB50" s="5" t="s">
        <v>37</v>
      </c>
      <c r="AC50" s="6" t="s">
        <v>80</v>
      </c>
    </row>
    <row r="51" spans="1:29" ht="15.75" customHeight="1" x14ac:dyDescent="0.3">
      <c r="A51" s="6">
        <v>50</v>
      </c>
      <c r="B51" s="5" t="s">
        <v>27</v>
      </c>
      <c r="C51" s="6" t="s">
        <v>269</v>
      </c>
      <c r="D51" s="6" t="s">
        <v>29</v>
      </c>
      <c r="E51" s="6" t="s">
        <v>136</v>
      </c>
      <c r="F51" s="6" t="s">
        <v>28</v>
      </c>
      <c r="G51" s="6" t="s">
        <v>137</v>
      </c>
      <c r="H51" s="6">
        <v>62</v>
      </c>
      <c r="I51" s="6" t="s">
        <v>32</v>
      </c>
      <c r="J51" s="41">
        <v>2000</v>
      </c>
      <c r="K51" s="41"/>
      <c r="L51" s="7">
        <v>24950610</v>
      </c>
      <c r="M51" s="29">
        <v>45387</v>
      </c>
      <c r="N51" s="29">
        <v>45747</v>
      </c>
      <c r="O51" s="56">
        <f>DATEDIF(M51, N51, "m")</f>
        <v>11</v>
      </c>
      <c r="P51" s="6" t="s">
        <v>33</v>
      </c>
      <c r="Q51" s="8" t="s">
        <v>34</v>
      </c>
      <c r="R51" s="6" t="s">
        <v>35</v>
      </c>
      <c r="S51" s="9">
        <v>0.3448</v>
      </c>
      <c r="T51" s="6" t="s">
        <v>138</v>
      </c>
      <c r="U51" s="6">
        <v>2</v>
      </c>
      <c r="V51" s="6">
        <v>2</v>
      </c>
      <c r="W51" s="5" t="s">
        <v>37</v>
      </c>
      <c r="X51" s="5" t="s">
        <v>37</v>
      </c>
      <c r="Y51" s="5" t="s">
        <v>37</v>
      </c>
      <c r="Z51" s="6">
        <v>10</v>
      </c>
      <c r="AA51" s="5" t="s">
        <v>37</v>
      </c>
      <c r="AB51" s="5" t="s">
        <v>37</v>
      </c>
      <c r="AC51" s="6" t="s">
        <v>80</v>
      </c>
    </row>
    <row r="52" spans="1:29" ht="15.75" customHeight="1" x14ac:dyDescent="0.3">
      <c r="A52" s="6">
        <v>51</v>
      </c>
      <c r="B52" s="5" t="s">
        <v>27</v>
      </c>
      <c r="C52" s="6" t="s">
        <v>269</v>
      </c>
      <c r="D52" s="6" t="s">
        <v>39</v>
      </c>
      <c r="E52" s="6" t="s">
        <v>139</v>
      </c>
      <c r="F52" s="6" t="s">
        <v>28</v>
      </c>
      <c r="G52" s="6" t="s">
        <v>140</v>
      </c>
      <c r="H52" s="6">
        <v>37</v>
      </c>
      <c r="I52" s="6" t="s">
        <v>46</v>
      </c>
      <c r="J52" s="41">
        <v>3000</v>
      </c>
      <c r="K52" s="41"/>
      <c r="L52" s="7">
        <v>44595061</v>
      </c>
      <c r="M52" s="29">
        <v>45394</v>
      </c>
      <c r="N52" s="29">
        <v>45755</v>
      </c>
      <c r="O52" s="56">
        <f>DATEDIF(M52, N52, "m")</f>
        <v>11</v>
      </c>
      <c r="P52" s="6" t="s">
        <v>33</v>
      </c>
      <c r="Q52" s="8" t="s">
        <v>34</v>
      </c>
      <c r="R52" s="6" t="s">
        <v>35</v>
      </c>
      <c r="S52" s="9">
        <v>0.33700000000000002</v>
      </c>
      <c r="T52" s="6" t="s">
        <v>141</v>
      </c>
      <c r="U52" s="6">
        <v>2</v>
      </c>
      <c r="V52" s="6">
        <v>2</v>
      </c>
      <c r="W52" s="5" t="s">
        <v>37</v>
      </c>
      <c r="X52" s="5" t="s">
        <v>37</v>
      </c>
      <c r="Y52" s="5" t="s">
        <v>37</v>
      </c>
      <c r="Z52" s="6">
        <v>5</v>
      </c>
      <c r="AA52" s="5" t="s">
        <v>37</v>
      </c>
      <c r="AB52" s="5" t="s">
        <v>37</v>
      </c>
      <c r="AC52" s="6" t="s">
        <v>38</v>
      </c>
    </row>
    <row r="53" spans="1:29" ht="15.75" customHeight="1" x14ac:dyDescent="0.3">
      <c r="A53" s="6">
        <v>52</v>
      </c>
      <c r="B53" s="5" t="s">
        <v>27</v>
      </c>
      <c r="C53" s="6" t="s">
        <v>269</v>
      </c>
      <c r="D53" s="6" t="s">
        <v>39</v>
      </c>
      <c r="E53" s="6" t="s">
        <v>208</v>
      </c>
      <c r="F53" s="6" t="s">
        <v>28</v>
      </c>
      <c r="G53" s="6" t="s">
        <v>210</v>
      </c>
      <c r="H53" s="6">
        <v>29</v>
      </c>
      <c r="I53" s="6" t="s">
        <v>46</v>
      </c>
      <c r="J53" s="40">
        <v>500</v>
      </c>
      <c r="K53" s="40"/>
      <c r="L53" s="6">
        <v>77668223</v>
      </c>
      <c r="M53" s="27">
        <v>45430</v>
      </c>
      <c r="N53" s="27">
        <v>45614</v>
      </c>
      <c r="O53" s="56">
        <f>DATEDIF(M53, N53, "m")</f>
        <v>6</v>
      </c>
      <c r="P53" s="6" t="s">
        <v>33</v>
      </c>
      <c r="Q53" s="8" t="s">
        <v>34</v>
      </c>
      <c r="R53" s="6" t="s">
        <v>35</v>
      </c>
      <c r="S53" s="9">
        <v>0.434</v>
      </c>
      <c r="T53" s="6" t="s">
        <v>209</v>
      </c>
      <c r="U53" s="6">
        <v>5</v>
      </c>
      <c r="V53" s="6">
        <v>4</v>
      </c>
      <c r="W53" s="5" t="s">
        <v>37</v>
      </c>
      <c r="X53" s="5" t="s">
        <v>37</v>
      </c>
      <c r="Y53" s="5" t="s">
        <v>37</v>
      </c>
      <c r="Z53" s="6">
        <v>4</v>
      </c>
      <c r="AA53" s="5" t="s">
        <v>37</v>
      </c>
      <c r="AB53" s="5" t="s">
        <v>37</v>
      </c>
      <c r="AC53" s="6" t="s">
        <v>38</v>
      </c>
    </row>
    <row r="54" spans="1:29" ht="15.75" customHeight="1" x14ac:dyDescent="0.3">
      <c r="A54" s="6">
        <v>53</v>
      </c>
      <c r="B54" s="5" t="s">
        <v>27</v>
      </c>
      <c r="C54" s="6" t="s">
        <v>269</v>
      </c>
      <c r="D54" s="6" t="s">
        <v>39</v>
      </c>
      <c r="E54" s="6" t="s">
        <v>211</v>
      </c>
      <c r="F54" s="6" t="s">
        <v>28</v>
      </c>
      <c r="G54" s="6" t="s">
        <v>212</v>
      </c>
      <c r="H54" s="6">
        <v>24</v>
      </c>
      <c r="I54" s="6" t="s">
        <v>32</v>
      </c>
      <c r="J54" s="40">
        <v>6000</v>
      </c>
      <c r="K54" s="40"/>
      <c r="L54" s="6">
        <v>60202811</v>
      </c>
      <c r="M54" s="27">
        <v>45433</v>
      </c>
      <c r="N54" s="27">
        <v>45793</v>
      </c>
      <c r="O54" s="56">
        <f>DATEDIF(M54, N54, "m")</f>
        <v>11</v>
      </c>
      <c r="P54" s="6" t="s">
        <v>33</v>
      </c>
      <c r="Q54" s="8" t="s">
        <v>34</v>
      </c>
      <c r="R54" s="6" t="s">
        <v>35</v>
      </c>
      <c r="S54" s="9">
        <v>0.32140000000000002</v>
      </c>
      <c r="T54" s="6" t="s">
        <v>213</v>
      </c>
      <c r="U54" s="6">
        <v>10</v>
      </c>
      <c r="V54" s="6">
        <v>9</v>
      </c>
      <c r="W54" s="5" t="s">
        <v>37</v>
      </c>
      <c r="X54" s="5" t="s">
        <v>37</v>
      </c>
      <c r="Y54" s="5" t="s">
        <v>37</v>
      </c>
      <c r="Z54" s="6">
        <v>5</v>
      </c>
      <c r="AA54" s="5" t="s">
        <v>37</v>
      </c>
      <c r="AB54" s="5" t="s">
        <v>37</v>
      </c>
      <c r="AC54" s="6" t="s">
        <v>38</v>
      </c>
    </row>
    <row r="55" spans="1:29" ht="15.75" customHeight="1" x14ac:dyDescent="0.3">
      <c r="A55" s="6">
        <v>54</v>
      </c>
      <c r="B55" s="5" t="s">
        <v>27</v>
      </c>
      <c r="C55" s="6" t="s">
        <v>269</v>
      </c>
      <c r="D55" s="6" t="s">
        <v>126</v>
      </c>
      <c r="E55" s="6" t="s">
        <v>214</v>
      </c>
      <c r="F55" s="6" t="s">
        <v>28</v>
      </c>
      <c r="G55" s="6" t="s">
        <v>215</v>
      </c>
      <c r="H55" s="6">
        <v>64</v>
      </c>
      <c r="I55" s="6" t="s">
        <v>32</v>
      </c>
      <c r="J55" s="40">
        <v>5000</v>
      </c>
      <c r="K55" s="40"/>
      <c r="L55" s="6">
        <v>23918813</v>
      </c>
      <c r="M55" s="27">
        <v>45059</v>
      </c>
      <c r="N55" s="27">
        <v>45609</v>
      </c>
      <c r="O55" s="56">
        <f>DATEDIF(M55, N55, "m")</f>
        <v>18</v>
      </c>
      <c r="P55" s="6" t="s">
        <v>33</v>
      </c>
      <c r="Q55" s="8" t="s">
        <v>34</v>
      </c>
      <c r="R55" s="6" t="s">
        <v>35</v>
      </c>
      <c r="S55" s="9">
        <v>0.22409999999999999</v>
      </c>
      <c r="T55" s="6" t="s">
        <v>216</v>
      </c>
      <c r="U55" s="6">
        <v>10</v>
      </c>
      <c r="V55" s="6">
        <v>9</v>
      </c>
      <c r="W55" s="5" t="s">
        <v>37</v>
      </c>
      <c r="X55" s="5" t="s">
        <v>37</v>
      </c>
      <c r="Y55" s="5" t="s">
        <v>37</v>
      </c>
      <c r="Z55" s="6">
        <v>20</v>
      </c>
      <c r="AA55" s="5" t="s">
        <v>37</v>
      </c>
      <c r="AB55" s="5" t="s">
        <v>37</v>
      </c>
      <c r="AC55" s="6" t="s">
        <v>38</v>
      </c>
    </row>
    <row r="56" spans="1:29" ht="15.75" customHeight="1" x14ac:dyDescent="0.3">
      <c r="A56" s="6">
        <v>55</v>
      </c>
      <c r="B56" s="5" t="s">
        <v>27</v>
      </c>
      <c r="C56" s="6" t="s">
        <v>269</v>
      </c>
      <c r="D56" s="6" t="s">
        <v>126</v>
      </c>
      <c r="E56" s="6" t="s">
        <v>217</v>
      </c>
      <c r="F56" s="6" t="s">
        <v>28</v>
      </c>
      <c r="G56" s="6" t="s">
        <v>218</v>
      </c>
      <c r="H56" s="6">
        <v>32</v>
      </c>
      <c r="I56" s="6" t="s">
        <v>32</v>
      </c>
      <c r="J56" s="40">
        <v>2500</v>
      </c>
      <c r="K56" s="40"/>
      <c r="L56" s="6">
        <v>47095849</v>
      </c>
      <c r="M56" s="27">
        <v>45421</v>
      </c>
      <c r="N56" s="27">
        <v>45786</v>
      </c>
      <c r="O56" s="56">
        <f>DATEDIF(M56, N56, "m")</f>
        <v>12</v>
      </c>
      <c r="P56" s="6" t="s">
        <v>33</v>
      </c>
      <c r="Q56" s="8" t="s">
        <v>34</v>
      </c>
      <c r="R56" s="6" t="s">
        <v>35</v>
      </c>
      <c r="S56" s="9">
        <v>0.3448</v>
      </c>
      <c r="T56" s="6" t="s">
        <v>219</v>
      </c>
      <c r="U56" s="6">
        <v>7</v>
      </c>
      <c r="V56" s="6">
        <v>6</v>
      </c>
      <c r="W56" s="5" t="s">
        <v>37</v>
      </c>
      <c r="X56" s="5" t="s">
        <v>37</v>
      </c>
      <c r="Y56" s="5" t="s">
        <v>37</v>
      </c>
      <c r="Z56" s="6">
        <v>7</v>
      </c>
      <c r="AA56" s="5" t="s">
        <v>37</v>
      </c>
      <c r="AB56" s="5" t="s">
        <v>37</v>
      </c>
      <c r="AC56" s="6" t="s">
        <v>38</v>
      </c>
    </row>
    <row r="57" spans="1:29" ht="15.75" customHeight="1" x14ac:dyDescent="0.3">
      <c r="A57" s="6">
        <v>56</v>
      </c>
      <c r="B57" s="5" t="s">
        <v>27</v>
      </c>
      <c r="C57" s="6" t="s">
        <v>269</v>
      </c>
      <c r="D57" s="6" t="s">
        <v>39</v>
      </c>
      <c r="E57" s="6" t="s">
        <v>220</v>
      </c>
      <c r="F57" s="6" t="s">
        <v>28</v>
      </c>
      <c r="G57" s="6" t="s">
        <v>247</v>
      </c>
      <c r="H57" s="6">
        <v>53</v>
      </c>
      <c r="I57" s="6" t="s">
        <v>32</v>
      </c>
      <c r="J57" s="40">
        <v>4000</v>
      </c>
      <c r="K57" s="40"/>
      <c r="L57" s="6">
        <v>24997845</v>
      </c>
      <c r="M57" s="27">
        <v>45411</v>
      </c>
      <c r="N57" s="27">
        <v>45785</v>
      </c>
      <c r="O57" s="56">
        <f>DATEDIF(M57, N57, "m")</f>
        <v>12</v>
      </c>
      <c r="P57" s="6" t="s">
        <v>33</v>
      </c>
      <c r="Q57" s="8" t="s">
        <v>34</v>
      </c>
      <c r="R57" s="6" t="s">
        <v>35</v>
      </c>
      <c r="S57" s="9">
        <v>0.33700000000000002</v>
      </c>
      <c r="T57" s="6" t="s">
        <v>221</v>
      </c>
      <c r="U57" s="6">
        <v>10</v>
      </c>
      <c r="V57" s="6">
        <v>5</v>
      </c>
      <c r="W57" s="5" t="s">
        <v>37</v>
      </c>
      <c r="X57" s="5" t="s">
        <v>37</v>
      </c>
      <c r="Y57" s="5" t="s">
        <v>37</v>
      </c>
      <c r="Z57" s="6">
        <v>12</v>
      </c>
      <c r="AA57" s="5" t="s">
        <v>37</v>
      </c>
      <c r="AB57" s="5" t="s">
        <v>37</v>
      </c>
      <c r="AC57" s="6" t="s">
        <v>38</v>
      </c>
    </row>
    <row r="58" spans="1:29" ht="15.75" customHeight="1" x14ac:dyDescent="0.3">
      <c r="A58" s="6">
        <v>57</v>
      </c>
      <c r="B58" s="6" t="s">
        <v>27</v>
      </c>
      <c r="C58" s="6" t="s">
        <v>269</v>
      </c>
      <c r="D58" s="6" t="s">
        <v>43</v>
      </c>
      <c r="E58" s="6" t="s">
        <v>222</v>
      </c>
      <c r="F58" s="6" t="s">
        <v>28</v>
      </c>
      <c r="G58" s="6" t="s">
        <v>248</v>
      </c>
      <c r="H58" s="6">
        <v>55</v>
      </c>
      <c r="I58" s="6" t="s">
        <v>46</v>
      </c>
      <c r="J58" s="40">
        <v>500</v>
      </c>
      <c r="K58" s="40"/>
      <c r="L58" s="6">
        <v>24992152</v>
      </c>
      <c r="M58" s="27">
        <v>45412</v>
      </c>
      <c r="N58" s="27">
        <v>45599</v>
      </c>
      <c r="O58" s="56">
        <f>DATEDIF(M58, N58, "m")</f>
        <v>6</v>
      </c>
      <c r="P58" s="6" t="s">
        <v>33</v>
      </c>
      <c r="Q58" s="8" t="s">
        <v>34</v>
      </c>
      <c r="R58" s="6" t="s">
        <v>35</v>
      </c>
      <c r="S58" s="9">
        <v>0.60650000000000004</v>
      </c>
      <c r="T58" s="6" t="s">
        <v>224</v>
      </c>
      <c r="U58" s="6">
        <v>7</v>
      </c>
      <c r="V58" s="6">
        <v>3</v>
      </c>
      <c r="W58" s="5" t="s">
        <v>37</v>
      </c>
      <c r="X58" s="5" t="s">
        <v>37</v>
      </c>
      <c r="Y58" s="5" t="s">
        <v>37</v>
      </c>
      <c r="Z58" s="6">
        <v>15</v>
      </c>
      <c r="AA58" s="6" t="s">
        <v>37</v>
      </c>
      <c r="AB58" s="6" t="s">
        <v>37</v>
      </c>
      <c r="AC58" s="6" t="s">
        <v>38</v>
      </c>
    </row>
    <row r="59" spans="1:29" ht="15.75" customHeight="1" x14ac:dyDescent="0.3">
      <c r="A59" s="6">
        <v>58</v>
      </c>
      <c r="B59" s="6" t="s">
        <v>27</v>
      </c>
      <c r="C59" s="6" t="s">
        <v>269</v>
      </c>
      <c r="D59" s="6" t="s">
        <v>29</v>
      </c>
      <c r="E59" s="6" t="s">
        <v>29</v>
      </c>
      <c r="F59" s="6" t="s">
        <v>28</v>
      </c>
      <c r="G59" s="6" t="s">
        <v>223</v>
      </c>
      <c r="H59" s="6">
        <v>61</v>
      </c>
      <c r="I59" s="6" t="s">
        <v>46</v>
      </c>
      <c r="J59" s="40">
        <v>2000</v>
      </c>
      <c r="K59" s="40"/>
      <c r="L59" s="6">
        <v>24944112</v>
      </c>
      <c r="M59" s="27">
        <v>45369</v>
      </c>
      <c r="N59" s="27">
        <v>45734</v>
      </c>
      <c r="O59" s="56">
        <f>DATEDIF(M59, N59, "m")</f>
        <v>12</v>
      </c>
      <c r="P59" s="6" t="s">
        <v>33</v>
      </c>
      <c r="Q59" s="8" t="s">
        <v>34</v>
      </c>
      <c r="R59" s="6" t="s">
        <v>35</v>
      </c>
      <c r="S59" s="9">
        <v>0.3448</v>
      </c>
      <c r="T59" s="6" t="s">
        <v>225</v>
      </c>
      <c r="U59" s="6">
        <v>10</v>
      </c>
      <c r="V59" s="6">
        <v>5</v>
      </c>
      <c r="W59" s="5" t="s">
        <v>37</v>
      </c>
      <c r="X59" s="5" t="s">
        <v>37</v>
      </c>
      <c r="Y59" s="5" t="s">
        <v>37</v>
      </c>
      <c r="Z59" s="6">
        <v>20</v>
      </c>
      <c r="AA59" s="6" t="s">
        <v>37</v>
      </c>
      <c r="AB59" s="6" t="s">
        <v>37</v>
      </c>
      <c r="AC59" s="6" t="s">
        <v>38</v>
      </c>
    </row>
    <row r="60" spans="1:29" ht="15.75" customHeight="1" x14ac:dyDescent="0.3">
      <c r="A60" s="6">
        <v>59</v>
      </c>
      <c r="B60" s="6" t="s">
        <v>27</v>
      </c>
      <c r="C60" s="6" t="s">
        <v>269</v>
      </c>
      <c r="D60" s="6" t="s">
        <v>43</v>
      </c>
      <c r="E60" s="6" t="s">
        <v>226</v>
      </c>
      <c r="F60" s="6" t="s">
        <v>28</v>
      </c>
      <c r="G60" s="6" t="s">
        <v>227</v>
      </c>
      <c r="H60" s="6">
        <v>61</v>
      </c>
      <c r="I60" s="6" t="s">
        <v>46</v>
      </c>
      <c r="J60" s="40">
        <v>1000</v>
      </c>
      <c r="K60" s="40"/>
      <c r="L60" s="6">
        <v>25212083</v>
      </c>
      <c r="M60" s="27">
        <v>45420</v>
      </c>
      <c r="N60" s="27">
        <v>45784</v>
      </c>
      <c r="O60" s="56">
        <f>DATEDIF(M60, N60, "m")</f>
        <v>11</v>
      </c>
      <c r="P60" s="6" t="s">
        <v>33</v>
      </c>
      <c r="Q60" s="8" t="s">
        <v>34</v>
      </c>
      <c r="R60" s="6" t="s">
        <v>35</v>
      </c>
      <c r="S60" s="9">
        <v>0.3448</v>
      </c>
      <c r="T60" s="6" t="s">
        <v>228</v>
      </c>
      <c r="U60" s="6">
        <v>5</v>
      </c>
      <c r="V60" s="6">
        <v>3</v>
      </c>
      <c r="W60" s="5" t="s">
        <v>37</v>
      </c>
      <c r="X60" s="5" t="s">
        <v>37</v>
      </c>
      <c r="Y60" s="5" t="s">
        <v>37</v>
      </c>
      <c r="Z60" s="6">
        <v>25</v>
      </c>
      <c r="AA60" s="6" t="s">
        <v>37</v>
      </c>
      <c r="AB60" s="6" t="s">
        <v>37</v>
      </c>
      <c r="AC60" s="6" t="s">
        <v>38</v>
      </c>
    </row>
    <row r="61" spans="1:29" ht="15.75" customHeight="1" x14ac:dyDescent="0.3">
      <c r="A61" s="6">
        <v>60</v>
      </c>
      <c r="B61" s="6" t="s">
        <v>27</v>
      </c>
      <c r="C61" s="6" t="s">
        <v>269</v>
      </c>
      <c r="D61" s="6" t="s">
        <v>39</v>
      </c>
      <c r="E61" s="6" t="s">
        <v>229</v>
      </c>
      <c r="F61" s="6" t="s">
        <v>28</v>
      </c>
      <c r="G61" s="6" t="s">
        <v>230</v>
      </c>
      <c r="H61" s="6">
        <v>43</v>
      </c>
      <c r="I61" s="6" t="s">
        <v>32</v>
      </c>
      <c r="J61" s="40">
        <v>4000</v>
      </c>
      <c r="K61" s="40"/>
      <c r="L61" s="6">
        <v>43116798</v>
      </c>
      <c r="M61" s="27">
        <v>45411</v>
      </c>
      <c r="N61" s="27">
        <v>45606</v>
      </c>
      <c r="O61" s="56">
        <f>DATEDIF(M61, N61, "m")</f>
        <v>6</v>
      </c>
      <c r="P61" s="6" t="s">
        <v>89</v>
      </c>
      <c r="Q61" s="8" t="s">
        <v>34</v>
      </c>
      <c r="R61" s="6" t="s">
        <v>35</v>
      </c>
      <c r="S61" s="9">
        <v>0.33700000000000002</v>
      </c>
      <c r="T61" s="6" t="s">
        <v>231</v>
      </c>
      <c r="U61" s="6">
        <v>10</v>
      </c>
      <c r="V61" s="6">
        <v>6</v>
      </c>
      <c r="W61" s="5" t="s">
        <v>37</v>
      </c>
      <c r="X61" s="5" t="s">
        <v>37</v>
      </c>
      <c r="Y61" s="5" t="s">
        <v>37</v>
      </c>
      <c r="Z61" s="6">
        <v>10</v>
      </c>
      <c r="AA61" s="6" t="s">
        <v>37</v>
      </c>
      <c r="AB61" s="6" t="s">
        <v>37</v>
      </c>
      <c r="AC61" s="6" t="s">
        <v>38</v>
      </c>
    </row>
    <row r="62" spans="1:29" ht="15.75" customHeight="1" x14ac:dyDescent="0.3">
      <c r="A62" s="6">
        <v>61</v>
      </c>
      <c r="B62" s="6" t="s">
        <v>27</v>
      </c>
      <c r="C62" s="6" t="s">
        <v>269</v>
      </c>
      <c r="D62" s="6" t="s">
        <v>232</v>
      </c>
      <c r="E62" s="6" t="s">
        <v>233</v>
      </c>
      <c r="F62" s="6" t="s">
        <v>28</v>
      </c>
      <c r="G62" s="6" t="s">
        <v>234</v>
      </c>
      <c r="H62" s="6">
        <v>40</v>
      </c>
      <c r="I62" s="6" t="s">
        <v>32</v>
      </c>
      <c r="J62" s="40">
        <v>30000</v>
      </c>
      <c r="K62" s="40"/>
      <c r="L62" s="6">
        <v>42532850</v>
      </c>
      <c r="M62" s="27">
        <v>45421</v>
      </c>
      <c r="N62" s="27">
        <v>45786</v>
      </c>
      <c r="O62" s="56">
        <f>DATEDIF(M62, N62, "m")</f>
        <v>12</v>
      </c>
      <c r="P62" s="6" t="s">
        <v>33</v>
      </c>
      <c r="Q62" s="8" t="s">
        <v>34</v>
      </c>
      <c r="R62" s="6" t="s">
        <v>35</v>
      </c>
      <c r="S62" s="9">
        <v>0.35270000000000001</v>
      </c>
      <c r="T62" s="6" t="s">
        <v>235</v>
      </c>
      <c r="U62" s="6">
        <v>4</v>
      </c>
      <c r="V62" s="6">
        <v>3</v>
      </c>
      <c r="W62" s="5" t="s">
        <v>37</v>
      </c>
      <c r="X62" s="5" t="s">
        <v>37</v>
      </c>
      <c r="Y62" s="5" t="s">
        <v>37</v>
      </c>
      <c r="Z62" s="6">
        <v>10</v>
      </c>
      <c r="AA62" s="6" t="s">
        <v>37</v>
      </c>
      <c r="AB62" s="6" t="s">
        <v>37</v>
      </c>
      <c r="AC62" s="6" t="s">
        <v>38</v>
      </c>
    </row>
    <row r="63" spans="1:29" ht="15.75" customHeight="1" x14ac:dyDescent="0.3">
      <c r="A63" s="6">
        <v>62</v>
      </c>
      <c r="B63" s="6" t="s">
        <v>27</v>
      </c>
      <c r="C63" s="6" t="s">
        <v>269</v>
      </c>
      <c r="D63" s="6" t="s">
        <v>43</v>
      </c>
      <c r="E63" s="6" t="s">
        <v>239</v>
      </c>
      <c r="F63" s="6" t="s">
        <v>28</v>
      </c>
      <c r="G63" s="6" t="s">
        <v>240</v>
      </c>
      <c r="H63" s="6">
        <v>26</v>
      </c>
      <c r="I63" s="6" t="s">
        <v>46</v>
      </c>
      <c r="J63" s="40">
        <v>18000</v>
      </c>
      <c r="K63" s="40"/>
      <c r="L63" s="6">
        <v>74495335</v>
      </c>
      <c r="M63" s="27">
        <v>45443</v>
      </c>
      <c r="N63" s="27">
        <v>45992</v>
      </c>
      <c r="O63" s="56">
        <f>DATEDIF(M63, N63, "m")</f>
        <v>18</v>
      </c>
      <c r="P63" s="6" t="s">
        <v>33</v>
      </c>
      <c r="Q63" s="8" t="s">
        <v>34</v>
      </c>
      <c r="R63" s="6" t="s">
        <v>35</v>
      </c>
      <c r="S63" s="9">
        <v>0.2908</v>
      </c>
      <c r="T63" s="6" t="s">
        <v>241</v>
      </c>
      <c r="U63" s="6">
        <v>5</v>
      </c>
      <c r="V63" s="6">
        <v>3</v>
      </c>
      <c r="W63" s="5" t="s">
        <v>37</v>
      </c>
      <c r="X63" s="5" t="s">
        <v>37</v>
      </c>
      <c r="Y63" s="5" t="s">
        <v>37</v>
      </c>
      <c r="Z63" s="6">
        <v>5</v>
      </c>
      <c r="AA63" s="6" t="s">
        <v>37</v>
      </c>
      <c r="AB63" s="6" t="s">
        <v>37</v>
      </c>
      <c r="AC63" s="6" t="s">
        <v>38</v>
      </c>
    </row>
    <row r="64" spans="1:29" ht="15.75" customHeight="1" x14ac:dyDescent="0.3">
      <c r="A64" s="6">
        <v>63</v>
      </c>
      <c r="B64" s="6" t="s">
        <v>27</v>
      </c>
      <c r="C64" s="6" t="s">
        <v>269</v>
      </c>
      <c r="D64" s="6" t="s">
        <v>29</v>
      </c>
      <c r="E64" s="6" t="s">
        <v>262</v>
      </c>
      <c r="F64" s="6" t="s">
        <v>28</v>
      </c>
      <c r="G64" s="6" t="s">
        <v>263</v>
      </c>
      <c r="H64" s="6">
        <v>42</v>
      </c>
      <c r="I64" s="6" t="s">
        <v>32</v>
      </c>
      <c r="J64" s="40">
        <v>500</v>
      </c>
      <c r="K64" s="40"/>
      <c r="L64" s="6">
        <v>43131818</v>
      </c>
      <c r="M64" s="27">
        <v>45457</v>
      </c>
      <c r="N64" s="27">
        <v>45640</v>
      </c>
      <c r="O64" s="56">
        <f>DATEDIF(M64, N64, "m")</f>
        <v>6</v>
      </c>
      <c r="P64" s="6" t="s">
        <v>33</v>
      </c>
      <c r="Q64" s="8" t="s">
        <v>34</v>
      </c>
      <c r="R64" s="6" t="s">
        <v>35</v>
      </c>
      <c r="S64" s="9">
        <v>0.59179999999999999</v>
      </c>
      <c r="T64" s="6" t="s">
        <v>264</v>
      </c>
      <c r="U64" s="6">
        <v>6</v>
      </c>
      <c r="V64" s="6">
        <v>5</v>
      </c>
      <c r="W64" s="5" t="s">
        <v>37</v>
      </c>
      <c r="X64" s="5" t="s">
        <v>37</v>
      </c>
      <c r="Y64" s="5" t="s">
        <v>37</v>
      </c>
      <c r="Z64" s="6">
        <v>6</v>
      </c>
      <c r="AA64" s="6" t="s">
        <v>37</v>
      </c>
      <c r="AB64" s="6" t="s">
        <v>37</v>
      </c>
      <c r="AC64" s="6" t="s">
        <v>80</v>
      </c>
    </row>
    <row r="65" spans="1:29" ht="15.75" customHeight="1" x14ac:dyDescent="0.3">
      <c r="A65" s="6">
        <v>64</v>
      </c>
      <c r="B65" s="6" t="s">
        <v>27</v>
      </c>
      <c r="C65" s="6" t="s">
        <v>269</v>
      </c>
      <c r="D65" s="6" t="s">
        <v>43</v>
      </c>
      <c r="E65" s="6" t="s">
        <v>295</v>
      </c>
      <c r="F65" s="6" t="s">
        <v>28</v>
      </c>
      <c r="G65" s="6" t="s">
        <v>265</v>
      </c>
      <c r="H65" s="6"/>
      <c r="I65" s="6"/>
      <c r="J65" s="40">
        <v>2000</v>
      </c>
      <c r="K65" s="40"/>
      <c r="L65" s="6">
        <v>78108111</v>
      </c>
      <c r="M65" s="27">
        <v>45460</v>
      </c>
      <c r="N65" s="27">
        <v>45825</v>
      </c>
      <c r="O65" s="56">
        <f>DATEDIF(M65, N65, "m")</f>
        <v>12</v>
      </c>
      <c r="P65" s="6" t="s">
        <v>33</v>
      </c>
      <c r="Q65" s="8" t="s">
        <v>34</v>
      </c>
      <c r="R65" s="6" t="s">
        <v>35</v>
      </c>
      <c r="S65" s="9"/>
      <c r="T65" s="6" t="s">
        <v>296</v>
      </c>
      <c r="U65" s="6">
        <v>8</v>
      </c>
      <c r="V65" s="6">
        <v>5</v>
      </c>
      <c r="W65" s="6" t="s">
        <v>37</v>
      </c>
      <c r="X65" s="6" t="s">
        <v>37</v>
      </c>
      <c r="Y65" s="6" t="s">
        <v>37</v>
      </c>
      <c r="Z65" s="6">
        <v>20</v>
      </c>
      <c r="AA65" s="6" t="s">
        <v>37</v>
      </c>
      <c r="AB65" s="6" t="s">
        <v>37</v>
      </c>
      <c r="AC65" s="6" t="s">
        <v>80</v>
      </c>
    </row>
    <row r="66" spans="1:29" ht="15.75" customHeight="1" x14ac:dyDescent="0.3">
      <c r="A66" s="6">
        <v>65</v>
      </c>
      <c r="B66" s="6" t="s">
        <v>27</v>
      </c>
      <c r="C66" s="6" t="s">
        <v>269</v>
      </c>
      <c r="D66" s="6" t="s">
        <v>39</v>
      </c>
      <c r="E66" s="6" t="s">
        <v>267</v>
      </c>
      <c r="F66" s="6" t="s">
        <v>28</v>
      </c>
      <c r="G66" s="6" t="s">
        <v>266</v>
      </c>
      <c r="H66" s="6">
        <v>67</v>
      </c>
      <c r="I66" s="6" t="s">
        <v>46</v>
      </c>
      <c r="J66" s="40">
        <v>2000</v>
      </c>
      <c r="K66" s="40"/>
      <c r="L66" s="6">
        <v>23972050</v>
      </c>
      <c r="M66" s="27">
        <v>45446</v>
      </c>
      <c r="N66" s="27">
        <v>45811</v>
      </c>
      <c r="O66" s="56">
        <f>DATEDIF(M66, N66, "m")</f>
        <v>12</v>
      </c>
      <c r="P66" s="6" t="s">
        <v>33</v>
      </c>
      <c r="Q66" s="8" t="s">
        <v>34</v>
      </c>
      <c r="R66" s="6" t="s">
        <v>35</v>
      </c>
      <c r="S66" s="9">
        <v>0.52510000000000001</v>
      </c>
      <c r="T66" s="6" t="s">
        <v>268</v>
      </c>
      <c r="U66" s="6">
        <v>4</v>
      </c>
      <c r="V66" s="6">
        <v>3</v>
      </c>
      <c r="W66" s="5" t="s">
        <v>37</v>
      </c>
      <c r="X66" s="5" t="s">
        <v>37</v>
      </c>
      <c r="Y66" s="5" t="s">
        <v>37</v>
      </c>
      <c r="Z66" s="6">
        <v>20</v>
      </c>
      <c r="AA66" s="6" t="s">
        <v>37</v>
      </c>
      <c r="AB66" s="6" t="s">
        <v>37</v>
      </c>
      <c r="AC66" s="6" t="s">
        <v>38</v>
      </c>
    </row>
    <row r="67" spans="1:29" ht="15.75" customHeight="1" x14ac:dyDescent="0.3">
      <c r="A67" s="6">
        <v>66</v>
      </c>
      <c r="B67" s="6" t="s">
        <v>27</v>
      </c>
      <c r="C67" s="6" t="s">
        <v>269</v>
      </c>
      <c r="D67" s="6" t="s">
        <v>43</v>
      </c>
      <c r="E67" s="6" t="s">
        <v>270</v>
      </c>
      <c r="F67" s="6" t="s">
        <v>28</v>
      </c>
      <c r="G67" s="6" t="s">
        <v>271</v>
      </c>
      <c r="H67" s="6">
        <v>38</v>
      </c>
      <c r="I67" s="6" t="s">
        <v>46</v>
      </c>
      <c r="J67" s="40">
        <v>25000</v>
      </c>
      <c r="K67" s="40"/>
      <c r="L67" s="6">
        <v>43853139</v>
      </c>
      <c r="M67" s="27">
        <v>45491</v>
      </c>
      <c r="N67" s="27">
        <v>46191</v>
      </c>
      <c r="O67" s="56">
        <f>DATEDIF(M67, N67, "m")</f>
        <v>23</v>
      </c>
      <c r="P67" s="6" t="s">
        <v>33</v>
      </c>
      <c r="Q67" s="6" t="s">
        <v>272</v>
      </c>
      <c r="R67" s="6" t="s">
        <v>35</v>
      </c>
      <c r="S67" s="9">
        <v>0.2712</v>
      </c>
      <c r="T67" s="6" t="s">
        <v>273</v>
      </c>
      <c r="U67" s="6">
        <v>10</v>
      </c>
      <c r="V67" s="6">
        <v>5</v>
      </c>
      <c r="W67" s="5" t="s">
        <v>37</v>
      </c>
      <c r="X67" s="5" t="s">
        <v>37</v>
      </c>
      <c r="Y67" s="5" t="s">
        <v>37</v>
      </c>
      <c r="Z67" s="6">
        <v>8</v>
      </c>
      <c r="AA67" s="6" t="s">
        <v>37</v>
      </c>
      <c r="AB67" s="6" t="s">
        <v>37</v>
      </c>
      <c r="AC67" s="6" t="s">
        <v>38</v>
      </c>
    </row>
    <row r="68" spans="1:29" ht="15.75" customHeight="1" x14ac:dyDescent="0.3">
      <c r="A68" s="6">
        <v>67</v>
      </c>
      <c r="B68" s="6" t="s">
        <v>27</v>
      </c>
      <c r="C68" s="6" t="s">
        <v>269</v>
      </c>
      <c r="D68" s="6" t="s">
        <v>29</v>
      </c>
      <c r="E68" s="6" t="s">
        <v>270</v>
      </c>
      <c r="F68" s="6" t="s">
        <v>28</v>
      </c>
      <c r="G68" s="6" t="s">
        <v>274</v>
      </c>
      <c r="H68" s="6">
        <v>33</v>
      </c>
      <c r="I68" s="6" t="s">
        <v>46</v>
      </c>
      <c r="J68" s="40">
        <v>3000</v>
      </c>
      <c r="K68" s="40"/>
      <c r="L68" s="6">
        <v>47496076</v>
      </c>
      <c r="M68" s="27">
        <v>45456</v>
      </c>
      <c r="N68" s="27">
        <v>45823</v>
      </c>
      <c r="O68" s="56">
        <f>DATEDIF(M68, N68, "m")</f>
        <v>12</v>
      </c>
      <c r="P68" s="6" t="s">
        <v>33</v>
      </c>
      <c r="Q68" s="8" t="s">
        <v>34</v>
      </c>
      <c r="R68" s="6" t="s">
        <v>35</v>
      </c>
      <c r="S68" s="9">
        <v>0.40010000000000001</v>
      </c>
      <c r="T68" s="6" t="s">
        <v>275</v>
      </c>
      <c r="U68" s="6">
        <v>6</v>
      </c>
      <c r="V68" s="6">
        <v>5</v>
      </c>
      <c r="W68" s="5" t="s">
        <v>37</v>
      </c>
      <c r="X68" s="5" t="s">
        <v>37</v>
      </c>
      <c r="Y68" s="5" t="s">
        <v>37</v>
      </c>
      <c r="Z68" s="6">
        <v>5</v>
      </c>
      <c r="AA68" s="6" t="s">
        <v>37</v>
      </c>
      <c r="AB68" s="6" t="s">
        <v>37</v>
      </c>
      <c r="AC68" s="6" t="s">
        <v>80</v>
      </c>
    </row>
    <row r="69" spans="1:29" ht="15.75" customHeight="1" x14ac:dyDescent="0.3">
      <c r="A69" s="6">
        <v>68</v>
      </c>
      <c r="B69" s="6" t="s">
        <v>27</v>
      </c>
      <c r="C69" s="6" t="s">
        <v>269</v>
      </c>
      <c r="D69" s="6" t="s">
        <v>43</v>
      </c>
      <c r="E69" s="6" t="s">
        <v>277</v>
      </c>
      <c r="F69" s="6" t="s">
        <v>28</v>
      </c>
      <c r="G69" s="6" t="s">
        <v>276</v>
      </c>
      <c r="H69" s="6">
        <v>21</v>
      </c>
      <c r="I69" s="6" t="s">
        <v>32</v>
      </c>
      <c r="J69" s="40">
        <v>5000</v>
      </c>
      <c r="K69" s="40"/>
      <c r="L69" s="6">
        <v>73423080</v>
      </c>
      <c r="M69" s="27">
        <v>45460</v>
      </c>
      <c r="N69" s="27">
        <v>45820</v>
      </c>
      <c r="O69" s="56">
        <f>DATEDIF(M69, N69, "m")</f>
        <v>11</v>
      </c>
      <c r="P69" s="6" t="s">
        <v>33</v>
      </c>
      <c r="Q69" s="6" t="s">
        <v>278</v>
      </c>
      <c r="R69" s="6" t="s">
        <v>35</v>
      </c>
      <c r="S69" s="9">
        <v>0.33229999999999998</v>
      </c>
      <c r="T69" s="6" t="s">
        <v>279</v>
      </c>
      <c r="U69" s="6">
        <v>8</v>
      </c>
      <c r="V69" s="6">
        <v>6</v>
      </c>
      <c r="W69" s="5" t="s">
        <v>37</v>
      </c>
      <c r="X69" s="5" t="s">
        <v>37</v>
      </c>
      <c r="Y69" s="5" t="s">
        <v>37</v>
      </c>
      <c r="Z69" s="6">
        <v>2</v>
      </c>
      <c r="AA69" s="6" t="s">
        <v>37</v>
      </c>
      <c r="AB69" s="6" t="s">
        <v>37</v>
      </c>
      <c r="AC69" s="6" t="s">
        <v>80</v>
      </c>
    </row>
    <row r="70" spans="1:29" ht="15.75" customHeight="1" x14ac:dyDescent="0.3">
      <c r="A70" s="6">
        <v>69</v>
      </c>
      <c r="B70" s="6" t="s">
        <v>27</v>
      </c>
      <c r="C70" s="6" t="s">
        <v>269</v>
      </c>
      <c r="D70" s="6" t="s">
        <v>43</v>
      </c>
      <c r="E70" s="6" t="s">
        <v>281</v>
      </c>
      <c r="F70" s="6" t="s">
        <v>28</v>
      </c>
      <c r="G70" s="6" t="s">
        <v>280</v>
      </c>
      <c r="H70" s="6">
        <v>71</v>
      </c>
      <c r="I70" s="6" t="s">
        <v>32</v>
      </c>
      <c r="J70" s="40">
        <v>20000</v>
      </c>
      <c r="K70" s="40"/>
      <c r="L70" s="6">
        <v>24983118</v>
      </c>
      <c r="M70" s="27">
        <v>45463</v>
      </c>
      <c r="N70" s="27">
        <v>45823</v>
      </c>
      <c r="O70" s="56">
        <f>DATEDIF(M70, N70, "m")</f>
        <v>11</v>
      </c>
      <c r="P70" s="6" t="s">
        <v>33</v>
      </c>
      <c r="Q70" s="8" t="s">
        <v>34</v>
      </c>
      <c r="R70" s="6" t="s">
        <v>35</v>
      </c>
      <c r="S70" s="9">
        <v>0.2802</v>
      </c>
      <c r="T70" s="6" t="s">
        <v>282</v>
      </c>
      <c r="U70" s="6">
        <v>7</v>
      </c>
      <c r="V70" s="6">
        <v>3</v>
      </c>
      <c r="W70" s="5" t="s">
        <v>37</v>
      </c>
      <c r="X70" s="5" t="s">
        <v>37</v>
      </c>
      <c r="Y70" s="5" t="s">
        <v>37</v>
      </c>
      <c r="Z70" s="6">
        <v>40</v>
      </c>
      <c r="AA70" s="6" t="s">
        <v>37</v>
      </c>
      <c r="AB70" s="6" t="s">
        <v>37</v>
      </c>
      <c r="AC70" s="6" t="s">
        <v>38</v>
      </c>
    </row>
    <row r="71" spans="1:29" ht="15.75" customHeight="1" x14ac:dyDescent="0.3">
      <c r="A71" s="6">
        <v>70</v>
      </c>
      <c r="B71" s="6" t="s">
        <v>27</v>
      </c>
      <c r="C71" s="6" t="s">
        <v>269</v>
      </c>
      <c r="D71" s="6" t="s">
        <v>29</v>
      </c>
      <c r="E71" s="6" t="s">
        <v>297</v>
      </c>
      <c r="F71" s="6" t="s">
        <v>28</v>
      </c>
      <c r="G71" s="6" t="s">
        <v>283</v>
      </c>
      <c r="H71" s="6">
        <v>46</v>
      </c>
      <c r="I71" s="6" t="s">
        <v>46</v>
      </c>
      <c r="J71" s="40">
        <v>15000</v>
      </c>
      <c r="K71" s="40"/>
      <c r="L71" s="6">
        <v>40274394</v>
      </c>
      <c r="M71" s="27">
        <v>45460</v>
      </c>
      <c r="N71" s="27">
        <v>46008</v>
      </c>
      <c r="O71" s="56">
        <f>DATEDIF(M71, N71, "m")</f>
        <v>18</v>
      </c>
      <c r="P71" s="6" t="s">
        <v>33</v>
      </c>
      <c r="Q71" s="8" t="s">
        <v>34</v>
      </c>
      <c r="R71" s="6" t="s">
        <v>35</v>
      </c>
      <c r="S71" s="9">
        <v>0.42409999999999998</v>
      </c>
      <c r="T71" s="6" t="s">
        <v>284</v>
      </c>
      <c r="U71" s="6">
        <v>4</v>
      </c>
      <c r="V71" s="6">
        <v>4</v>
      </c>
      <c r="W71" s="5" t="s">
        <v>37</v>
      </c>
      <c r="X71" s="5" t="s">
        <v>37</v>
      </c>
      <c r="Y71" s="5" t="s">
        <v>37</v>
      </c>
      <c r="Z71" s="6">
        <v>15</v>
      </c>
      <c r="AA71" s="6" t="s">
        <v>37</v>
      </c>
      <c r="AB71" s="6" t="s">
        <v>37</v>
      </c>
      <c r="AC71" s="6" t="s">
        <v>38</v>
      </c>
    </row>
    <row r="72" spans="1:29" ht="15.75" customHeight="1" x14ac:dyDescent="0.3">
      <c r="A72" s="6">
        <v>71</v>
      </c>
      <c r="B72" s="6" t="s">
        <v>27</v>
      </c>
      <c r="C72" s="6" t="s">
        <v>269</v>
      </c>
      <c r="D72" s="6" t="s">
        <v>29</v>
      </c>
      <c r="E72" s="6" t="s">
        <v>298</v>
      </c>
      <c r="F72" s="6" t="s">
        <v>28</v>
      </c>
      <c r="G72" s="6" t="s">
        <v>285</v>
      </c>
      <c r="H72" s="6">
        <v>58</v>
      </c>
      <c r="I72" s="6" t="s">
        <v>46</v>
      </c>
      <c r="J72" s="40">
        <v>20000</v>
      </c>
      <c r="K72" s="40"/>
      <c r="L72" s="6">
        <v>25060013</v>
      </c>
      <c r="M72" s="27">
        <v>45468</v>
      </c>
      <c r="N72" s="27">
        <v>46199</v>
      </c>
      <c r="O72" s="56">
        <f>DATEDIF(M72, N72, "m")</f>
        <v>24</v>
      </c>
      <c r="P72" s="6" t="s">
        <v>33</v>
      </c>
      <c r="Q72" s="8" t="s">
        <v>34</v>
      </c>
      <c r="R72" s="6" t="s">
        <v>35</v>
      </c>
      <c r="S72" s="9">
        <v>0.39119999999999999</v>
      </c>
      <c r="T72" s="6" t="s">
        <v>286</v>
      </c>
      <c r="U72" s="6">
        <v>9</v>
      </c>
      <c r="V72" s="6">
        <v>6</v>
      </c>
      <c r="W72" s="5" t="s">
        <v>37</v>
      </c>
      <c r="X72" s="5" t="s">
        <v>37</v>
      </c>
      <c r="Y72" s="5" t="s">
        <v>37</v>
      </c>
      <c r="Z72" s="6">
        <v>20</v>
      </c>
      <c r="AA72" s="6" t="s">
        <v>37</v>
      </c>
      <c r="AB72" s="6" t="s">
        <v>37</v>
      </c>
      <c r="AC72" s="6" t="s">
        <v>38</v>
      </c>
    </row>
    <row r="73" spans="1:29" ht="15.75" customHeight="1" x14ac:dyDescent="0.3">
      <c r="A73" s="6">
        <v>72</v>
      </c>
      <c r="B73" s="6" t="s">
        <v>27</v>
      </c>
      <c r="C73" s="6" t="s">
        <v>269</v>
      </c>
      <c r="D73" s="6" t="s">
        <v>29</v>
      </c>
      <c r="E73" s="6" t="s">
        <v>30</v>
      </c>
      <c r="F73" s="6" t="s">
        <v>28</v>
      </c>
      <c r="G73" s="6" t="s">
        <v>31</v>
      </c>
      <c r="H73" s="6">
        <v>51</v>
      </c>
      <c r="I73" s="6" t="s">
        <v>32</v>
      </c>
      <c r="J73" s="40">
        <v>5000</v>
      </c>
      <c r="K73" s="40"/>
      <c r="L73" s="6">
        <v>24993979</v>
      </c>
      <c r="M73" s="27">
        <v>45467</v>
      </c>
      <c r="N73" s="27">
        <v>45827</v>
      </c>
      <c r="O73" s="56">
        <f>DATEDIF(M73, N73, "m")</f>
        <v>11</v>
      </c>
      <c r="P73" s="6" t="s">
        <v>33</v>
      </c>
      <c r="Q73" s="8" t="s">
        <v>34</v>
      </c>
      <c r="R73" s="6" t="s">
        <v>35</v>
      </c>
      <c r="S73" s="9">
        <v>0.33229999999999998</v>
      </c>
      <c r="T73" s="6" t="s">
        <v>287</v>
      </c>
      <c r="U73" s="6">
        <v>7</v>
      </c>
      <c r="V73" s="6">
        <v>5</v>
      </c>
      <c r="W73" s="5" t="s">
        <v>37</v>
      </c>
      <c r="X73" s="5" t="s">
        <v>37</v>
      </c>
      <c r="Y73" s="5" t="s">
        <v>37</v>
      </c>
      <c r="Z73" s="6">
        <v>20</v>
      </c>
      <c r="AA73" s="6" t="s">
        <v>37</v>
      </c>
      <c r="AB73" s="6" t="s">
        <v>37</v>
      </c>
      <c r="AC73" s="6" t="s">
        <v>38</v>
      </c>
    </row>
    <row r="74" spans="1:29" ht="15.75" customHeight="1" x14ac:dyDescent="0.3">
      <c r="A74" s="6">
        <v>73</v>
      </c>
      <c r="B74" s="6" t="s">
        <v>27</v>
      </c>
      <c r="C74" s="6" t="s">
        <v>269</v>
      </c>
      <c r="D74" s="6" t="s">
        <v>29</v>
      </c>
      <c r="E74" s="6" t="s">
        <v>289</v>
      </c>
      <c r="F74" s="6" t="s">
        <v>28</v>
      </c>
      <c r="G74" s="6" t="s">
        <v>288</v>
      </c>
      <c r="H74" s="6">
        <v>68</v>
      </c>
      <c r="I74" s="6" t="s">
        <v>46</v>
      </c>
      <c r="J74" s="40">
        <v>35000</v>
      </c>
      <c r="K74" s="40"/>
      <c r="L74" s="6">
        <v>23953459</v>
      </c>
      <c r="M74" s="27">
        <v>45467</v>
      </c>
      <c r="N74" s="27">
        <v>46197</v>
      </c>
      <c r="O74" s="56">
        <f>DATEDIF(M74, N74, "m")</f>
        <v>24</v>
      </c>
      <c r="P74" s="6" t="s">
        <v>33</v>
      </c>
      <c r="Q74" s="8" t="s">
        <v>34</v>
      </c>
      <c r="R74" s="6" t="s">
        <v>35</v>
      </c>
      <c r="S74" s="9">
        <v>0.246</v>
      </c>
      <c r="T74" s="6" t="s">
        <v>290</v>
      </c>
      <c r="U74" s="6">
        <v>6</v>
      </c>
      <c r="V74" s="6">
        <v>3</v>
      </c>
      <c r="W74" s="5" t="s">
        <v>37</v>
      </c>
      <c r="X74" s="5" t="s">
        <v>37</v>
      </c>
      <c r="Y74" s="5" t="s">
        <v>37</v>
      </c>
      <c r="Z74" s="6">
        <v>20</v>
      </c>
      <c r="AA74" s="6" t="s">
        <v>37</v>
      </c>
      <c r="AB74" s="6" t="s">
        <v>37</v>
      </c>
      <c r="AC74" s="6" t="s">
        <v>38</v>
      </c>
    </row>
    <row r="75" spans="1:29" ht="15.75" customHeight="1" x14ac:dyDescent="0.3">
      <c r="A75" s="6">
        <v>74</v>
      </c>
      <c r="B75" s="6" t="s">
        <v>27</v>
      </c>
      <c r="C75" s="6" t="s">
        <v>269</v>
      </c>
      <c r="D75" s="6" t="s">
        <v>299</v>
      </c>
      <c r="E75" s="6" t="s">
        <v>300</v>
      </c>
      <c r="F75" s="6" t="s">
        <v>28</v>
      </c>
      <c r="G75" s="6" t="s">
        <v>291</v>
      </c>
      <c r="H75" s="6">
        <v>37</v>
      </c>
      <c r="I75" s="6" t="s">
        <v>46</v>
      </c>
      <c r="J75" s="40">
        <v>500</v>
      </c>
      <c r="K75" s="40"/>
      <c r="L75" s="6">
        <v>44626357</v>
      </c>
      <c r="M75" s="27">
        <v>45464</v>
      </c>
      <c r="N75" s="27">
        <v>45650</v>
      </c>
      <c r="O75" s="56">
        <f>DATEDIF(M75, N75, "m")</f>
        <v>6</v>
      </c>
      <c r="P75" s="6" t="s">
        <v>33</v>
      </c>
      <c r="Q75" s="8" t="s">
        <v>34</v>
      </c>
      <c r="R75" s="6" t="s">
        <v>35</v>
      </c>
      <c r="S75" s="9">
        <v>0.52159999999999995</v>
      </c>
      <c r="T75" s="6" t="s">
        <v>301</v>
      </c>
      <c r="U75" s="6">
        <v>7</v>
      </c>
      <c r="V75" s="6">
        <v>5</v>
      </c>
      <c r="W75" s="6" t="s">
        <v>37</v>
      </c>
      <c r="X75" s="6" t="s">
        <v>37</v>
      </c>
      <c r="Y75" s="6" t="s">
        <v>37</v>
      </c>
      <c r="Z75" s="6">
        <v>20</v>
      </c>
      <c r="AA75" s="6" t="s">
        <v>37</v>
      </c>
      <c r="AB75" s="6" t="s">
        <v>37</v>
      </c>
      <c r="AC75" s="6" t="s">
        <v>80</v>
      </c>
    </row>
    <row r="76" spans="1:29" ht="15.75" customHeight="1" x14ac:dyDescent="0.3">
      <c r="A76" s="6">
        <v>75</v>
      </c>
      <c r="B76" s="6" t="s">
        <v>27</v>
      </c>
      <c r="C76" s="6" t="s">
        <v>269</v>
      </c>
      <c r="D76" s="6" t="s">
        <v>29</v>
      </c>
      <c r="E76" s="6" t="s">
        <v>293</v>
      </c>
      <c r="F76" s="6" t="s">
        <v>28</v>
      </c>
      <c r="G76" s="6" t="s">
        <v>292</v>
      </c>
      <c r="H76" s="6">
        <v>55</v>
      </c>
      <c r="I76" s="6" t="s">
        <v>46</v>
      </c>
      <c r="J76" s="40">
        <v>13000</v>
      </c>
      <c r="K76" s="40"/>
      <c r="L76" s="6">
        <v>41259693</v>
      </c>
      <c r="M76" s="27">
        <v>45457</v>
      </c>
      <c r="N76" s="27">
        <v>45460</v>
      </c>
      <c r="O76" s="56">
        <f>DATEDIF(M76, N76, "m")</f>
        <v>0</v>
      </c>
      <c r="P76" s="6" t="s">
        <v>33</v>
      </c>
      <c r="Q76" s="8" t="s">
        <v>34</v>
      </c>
      <c r="R76" s="6" t="s">
        <v>35</v>
      </c>
      <c r="S76" s="9">
        <v>0.42409999999999998</v>
      </c>
      <c r="T76" s="6" t="s">
        <v>294</v>
      </c>
      <c r="U76" s="6">
        <v>4</v>
      </c>
      <c r="V76" s="6">
        <v>3</v>
      </c>
      <c r="W76" s="6" t="s">
        <v>37</v>
      </c>
      <c r="X76" s="6" t="s">
        <v>37</v>
      </c>
      <c r="Y76" s="6" t="s">
        <v>37</v>
      </c>
      <c r="Z76" s="6">
        <v>15</v>
      </c>
      <c r="AA76" s="6" t="s">
        <v>37</v>
      </c>
      <c r="AB76" s="6" t="s">
        <v>37</v>
      </c>
      <c r="AC76" s="6" t="s">
        <v>38</v>
      </c>
    </row>
    <row r="77" spans="1:29" ht="15.75" customHeight="1" x14ac:dyDescent="0.3">
      <c r="A77" s="6">
        <v>76</v>
      </c>
      <c r="B77" s="6" t="s">
        <v>27</v>
      </c>
      <c r="C77" s="6" t="s">
        <v>269</v>
      </c>
      <c r="D77" s="25" t="s">
        <v>29</v>
      </c>
      <c r="E77" s="25" t="s">
        <v>302</v>
      </c>
      <c r="F77" s="6" t="s">
        <v>28</v>
      </c>
      <c r="G77" s="25" t="s">
        <v>303</v>
      </c>
      <c r="H77" s="25">
        <v>63</v>
      </c>
      <c r="I77" s="25" t="s">
        <v>46</v>
      </c>
      <c r="J77" s="42">
        <v>13000</v>
      </c>
      <c r="K77" s="54" t="s">
        <v>440</v>
      </c>
      <c r="L77" s="55">
        <v>24940102</v>
      </c>
      <c r="M77" s="30">
        <v>45523</v>
      </c>
      <c r="N77" s="25" t="s">
        <v>304</v>
      </c>
      <c r="O77" s="56">
        <v>24</v>
      </c>
      <c r="P77" s="25" t="s">
        <v>305</v>
      </c>
      <c r="Q77" s="25" t="s">
        <v>306</v>
      </c>
      <c r="R77" s="25" t="s">
        <v>307</v>
      </c>
      <c r="S77" s="31">
        <v>0.42530000000000001</v>
      </c>
      <c r="T77" s="25" t="s">
        <v>308</v>
      </c>
      <c r="U77" s="25">
        <v>3</v>
      </c>
      <c r="V77" s="25">
        <v>2</v>
      </c>
      <c r="W77" s="25" t="s">
        <v>37</v>
      </c>
      <c r="X77" s="25" t="s">
        <v>37</v>
      </c>
      <c r="Y77" s="25" t="s">
        <v>37</v>
      </c>
      <c r="Z77" s="25">
        <v>10</v>
      </c>
      <c r="AA77" s="25" t="s">
        <v>37</v>
      </c>
      <c r="AB77" s="25" t="s">
        <v>37</v>
      </c>
      <c r="AC77" s="25" t="s">
        <v>309</v>
      </c>
    </row>
    <row r="78" spans="1:29" ht="15.75" customHeight="1" x14ac:dyDescent="0.3">
      <c r="A78" s="6">
        <v>77</v>
      </c>
      <c r="B78" s="6" t="s">
        <v>27</v>
      </c>
      <c r="C78" s="6" t="s">
        <v>269</v>
      </c>
      <c r="D78" s="25" t="s">
        <v>142</v>
      </c>
      <c r="E78" s="25" t="s">
        <v>142</v>
      </c>
      <c r="F78" s="6" t="s">
        <v>28</v>
      </c>
      <c r="G78" s="25" t="s">
        <v>310</v>
      </c>
      <c r="H78" s="25">
        <v>44</v>
      </c>
      <c r="I78" s="25" t="s">
        <v>32</v>
      </c>
      <c r="J78" s="42">
        <v>10000</v>
      </c>
      <c r="K78" s="52" t="s">
        <v>441</v>
      </c>
      <c r="L78" s="25">
        <v>44471923</v>
      </c>
      <c r="M78" s="30">
        <v>45526</v>
      </c>
      <c r="N78" s="25" t="s">
        <v>311</v>
      </c>
      <c r="O78" s="56">
        <v>18</v>
      </c>
      <c r="P78" s="25" t="s">
        <v>305</v>
      </c>
      <c r="Q78" s="25" t="s">
        <v>306</v>
      </c>
      <c r="R78" s="25" t="s">
        <v>307</v>
      </c>
      <c r="S78" s="31">
        <v>0.39279999999999998</v>
      </c>
      <c r="T78" s="25" t="s">
        <v>312</v>
      </c>
      <c r="U78" s="25">
        <v>4</v>
      </c>
      <c r="V78" s="25">
        <v>2</v>
      </c>
      <c r="W78" s="25" t="s">
        <v>37</v>
      </c>
      <c r="X78" s="25" t="s">
        <v>37</v>
      </c>
      <c r="Y78" s="25" t="s">
        <v>37</v>
      </c>
      <c r="Z78" s="25">
        <v>12</v>
      </c>
      <c r="AA78" s="25" t="s">
        <v>37</v>
      </c>
      <c r="AB78" s="25" t="s">
        <v>37</v>
      </c>
      <c r="AC78" s="25" t="s">
        <v>309</v>
      </c>
    </row>
    <row r="79" spans="1:29" ht="15.75" customHeight="1" x14ac:dyDescent="0.3">
      <c r="A79" s="6">
        <v>78</v>
      </c>
      <c r="B79" s="6" t="s">
        <v>27</v>
      </c>
      <c r="C79" s="6" t="s">
        <v>269</v>
      </c>
      <c r="D79" s="25" t="s">
        <v>29</v>
      </c>
      <c r="E79" s="25" t="s">
        <v>313</v>
      </c>
      <c r="F79" s="6" t="s">
        <v>28</v>
      </c>
      <c r="G79" s="25" t="s">
        <v>314</v>
      </c>
      <c r="H79" s="25">
        <v>56</v>
      </c>
      <c r="I79" s="25" t="s">
        <v>32</v>
      </c>
      <c r="J79" s="42">
        <v>10000</v>
      </c>
      <c r="K79" s="52" t="s">
        <v>442</v>
      </c>
      <c r="L79" s="25">
        <v>24993083</v>
      </c>
      <c r="M79" s="30">
        <v>45524</v>
      </c>
      <c r="N79" s="25" t="s">
        <v>315</v>
      </c>
      <c r="O79" s="56">
        <v>12</v>
      </c>
      <c r="P79" s="25" t="s">
        <v>305</v>
      </c>
      <c r="Q79" s="25" t="s">
        <v>316</v>
      </c>
      <c r="R79" s="25" t="s">
        <v>307</v>
      </c>
      <c r="S79" s="31">
        <v>0.32919999999999999</v>
      </c>
      <c r="T79" s="25" t="s">
        <v>317</v>
      </c>
      <c r="U79" s="25">
        <v>10</v>
      </c>
      <c r="V79" s="25">
        <v>3</v>
      </c>
      <c r="W79" s="25" t="s">
        <v>37</v>
      </c>
      <c r="X79" s="25" t="s">
        <v>37</v>
      </c>
      <c r="Y79" s="25" t="s">
        <v>37</v>
      </c>
      <c r="Z79" s="25">
        <v>20</v>
      </c>
      <c r="AA79" s="25" t="s">
        <v>37</v>
      </c>
      <c r="AB79" s="25" t="s">
        <v>37</v>
      </c>
      <c r="AC79" s="25" t="s">
        <v>309</v>
      </c>
    </row>
    <row r="80" spans="1:29" ht="15.75" customHeight="1" x14ac:dyDescent="0.3">
      <c r="A80" s="6">
        <v>79</v>
      </c>
      <c r="B80" s="6" t="s">
        <v>27</v>
      </c>
      <c r="C80" s="6" t="s">
        <v>269</v>
      </c>
      <c r="D80" s="25" t="s">
        <v>29</v>
      </c>
      <c r="E80" s="25" t="s">
        <v>318</v>
      </c>
      <c r="F80" s="6" t="s">
        <v>28</v>
      </c>
      <c r="G80" s="25" t="s">
        <v>319</v>
      </c>
      <c r="H80" s="25">
        <v>32</v>
      </c>
      <c r="I80" s="25" t="s">
        <v>32</v>
      </c>
      <c r="J80" s="42">
        <v>5000</v>
      </c>
      <c r="K80" s="52" t="s">
        <v>443</v>
      </c>
      <c r="L80" s="25">
        <v>47755054</v>
      </c>
      <c r="M80" s="30">
        <v>45519</v>
      </c>
      <c r="N80" s="25" t="s">
        <v>315</v>
      </c>
      <c r="O80" s="56">
        <v>12</v>
      </c>
      <c r="P80" s="25" t="s">
        <v>305</v>
      </c>
      <c r="Q80" s="25" t="s">
        <v>316</v>
      </c>
      <c r="R80" s="25" t="s">
        <v>307</v>
      </c>
      <c r="S80" s="31">
        <v>0.33229999999999998</v>
      </c>
      <c r="T80" s="25" t="s">
        <v>320</v>
      </c>
      <c r="U80" s="25">
        <v>6</v>
      </c>
      <c r="V80" s="25">
        <v>3</v>
      </c>
      <c r="W80" s="25" t="s">
        <v>37</v>
      </c>
      <c r="X80" s="25" t="s">
        <v>37</v>
      </c>
      <c r="Y80" s="25" t="s">
        <v>37</v>
      </c>
      <c r="Z80" s="25">
        <v>10</v>
      </c>
      <c r="AA80" s="25" t="s">
        <v>37</v>
      </c>
      <c r="AB80" s="25" t="s">
        <v>37</v>
      </c>
      <c r="AC80" s="25" t="s">
        <v>321</v>
      </c>
    </row>
    <row r="81" spans="1:29" ht="15.75" customHeight="1" x14ac:dyDescent="0.3">
      <c r="A81" s="6">
        <v>80</v>
      </c>
      <c r="B81" s="6" t="s">
        <v>27</v>
      </c>
      <c r="C81" s="25" t="s">
        <v>246</v>
      </c>
      <c r="D81" s="25" t="s">
        <v>432</v>
      </c>
      <c r="E81" s="25" t="s">
        <v>322</v>
      </c>
      <c r="F81" s="25" t="s">
        <v>94</v>
      </c>
      <c r="G81" s="32" t="s">
        <v>323</v>
      </c>
      <c r="H81" s="25">
        <v>49</v>
      </c>
      <c r="I81" s="25" t="s">
        <v>46</v>
      </c>
      <c r="J81" s="42">
        <v>50000</v>
      </c>
      <c r="K81" s="52" t="s">
        <v>444</v>
      </c>
      <c r="L81" s="32">
        <v>24489991</v>
      </c>
      <c r="M81" s="30">
        <v>45524</v>
      </c>
      <c r="N81" s="25" t="s">
        <v>324</v>
      </c>
      <c r="O81" s="56">
        <v>48</v>
      </c>
      <c r="P81" s="25" t="s">
        <v>325</v>
      </c>
      <c r="Q81" s="25" t="s">
        <v>316</v>
      </c>
      <c r="R81" s="25" t="s">
        <v>307</v>
      </c>
      <c r="S81" s="31">
        <v>0.28320000000000001</v>
      </c>
      <c r="T81" s="25" t="s">
        <v>326</v>
      </c>
      <c r="U81" s="25">
        <v>7</v>
      </c>
      <c r="V81" s="25">
        <v>4</v>
      </c>
      <c r="W81" s="25" t="s">
        <v>37</v>
      </c>
      <c r="X81" s="25" t="s">
        <v>37</v>
      </c>
      <c r="Y81" s="25" t="s">
        <v>37</v>
      </c>
      <c r="Z81" s="25">
        <v>20</v>
      </c>
      <c r="AA81" s="25" t="s">
        <v>37</v>
      </c>
      <c r="AB81" s="25" t="s">
        <v>37</v>
      </c>
      <c r="AC81" s="25" t="s">
        <v>309</v>
      </c>
    </row>
    <row r="82" spans="1:29" ht="15.75" customHeight="1" x14ac:dyDescent="0.3">
      <c r="A82" s="6">
        <v>81</v>
      </c>
      <c r="B82" s="6" t="s">
        <v>27</v>
      </c>
      <c r="C82" s="33" t="s">
        <v>269</v>
      </c>
      <c r="D82" s="33" t="s">
        <v>29</v>
      </c>
      <c r="E82" s="33" t="s">
        <v>327</v>
      </c>
      <c r="F82" s="33" t="s">
        <v>58</v>
      </c>
      <c r="G82" s="25" t="s">
        <v>328</v>
      </c>
      <c r="H82" s="25">
        <v>65</v>
      </c>
      <c r="I82" s="25" t="s">
        <v>32</v>
      </c>
      <c r="J82" s="42">
        <v>5000</v>
      </c>
      <c r="K82" s="53" t="s">
        <v>445</v>
      </c>
      <c r="L82" s="32">
        <v>24955893</v>
      </c>
      <c r="M82" s="30">
        <v>45544</v>
      </c>
      <c r="N82" s="25" t="s">
        <v>311</v>
      </c>
      <c r="O82" s="56">
        <v>18</v>
      </c>
      <c r="P82" s="25" t="s">
        <v>325</v>
      </c>
      <c r="Q82" s="25" t="s">
        <v>316</v>
      </c>
      <c r="R82" s="25" t="s">
        <v>307</v>
      </c>
      <c r="S82" s="31">
        <v>0.40920000000000001</v>
      </c>
      <c r="T82" s="25" t="s">
        <v>329</v>
      </c>
      <c r="U82" s="25">
        <v>10</v>
      </c>
      <c r="V82" s="25">
        <v>4</v>
      </c>
      <c r="W82" s="25" t="s">
        <v>37</v>
      </c>
      <c r="X82" s="25" t="s">
        <v>37</v>
      </c>
      <c r="Y82" s="25" t="s">
        <v>37</v>
      </c>
      <c r="Z82" s="25">
        <v>25</v>
      </c>
      <c r="AA82" s="25" t="s">
        <v>37</v>
      </c>
      <c r="AB82" s="25" t="s">
        <v>37</v>
      </c>
      <c r="AC82" s="25" t="s">
        <v>309</v>
      </c>
    </row>
    <row r="83" spans="1:29" ht="15.75" customHeight="1" x14ac:dyDescent="0.3">
      <c r="A83" s="6">
        <v>82</v>
      </c>
      <c r="B83" s="6" t="s">
        <v>27</v>
      </c>
      <c r="C83" s="33" t="s">
        <v>269</v>
      </c>
      <c r="D83" s="33" t="s">
        <v>29</v>
      </c>
      <c r="E83" s="25" t="s">
        <v>327</v>
      </c>
      <c r="F83" s="25" t="s">
        <v>58</v>
      </c>
      <c r="G83" s="25" t="s">
        <v>330</v>
      </c>
      <c r="H83" s="25">
        <v>35</v>
      </c>
      <c r="I83" s="25" t="s">
        <v>32</v>
      </c>
      <c r="J83" s="42">
        <v>5000</v>
      </c>
      <c r="K83" s="53" t="s">
        <v>446</v>
      </c>
      <c r="L83" s="25">
        <v>46140829</v>
      </c>
      <c r="M83" s="30">
        <v>45548</v>
      </c>
      <c r="N83" s="25" t="s">
        <v>315</v>
      </c>
      <c r="O83" s="56">
        <v>12</v>
      </c>
      <c r="P83" s="25" t="s">
        <v>305</v>
      </c>
      <c r="Q83" s="25" t="s">
        <v>316</v>
      </c>
      <c r="R83" s="25" t="s">
        <v>307</v>
      </c>
      <c r="S83" s="31">
        <v>0.39279999999999998</v>
      </c>
      <c r="T83" s="25" t="s">
        <v>331</v>
      </c>
      <c r="U83" s="25">
        <v>8</v>
      </c>
      <c r="V83" s="25">
        <v>5</v>
      </c>
      <c r="W83" s="25" t="s">
        <v>37</v>
      </c>
      <c r="X83" s="25" t="s">
        <v>37</v>
      </c>
      <c r="Y83" s="25" t="s">
        <v>37</v>
      </c>
      <c r="Z83" s="25">
        <v>15</v>
      </c>
      <c r="AA83" s="25" t="s">
        <v>37</v>
      </c>
      <c r="AB83" s="25" t="s">
        <v>37</v>
      </c>
      <c r="AC83" s="25" t="s">
        <v>309</v>
      </c>
    </row>
    <row r="84" spans="1:29" ht="15.75" customHeight="1" x14ac:dyDescent="0.3">
      <c r="A84" s="6">
        <v>83</v>
      </c>
      <c r="B84" s="6" t="s">
        <v>27</v>
      </c>
      <c r="C84" s="33" t="s">
        <v>269</v>
      </c>
      <c r="D84" s="33" t="s">
        <v>29</v>
      </c>
      <c r="E84" s="25" t="s">
        <v>332</v>
      </c>
      <c r="F84" s="25" t="s">
        <v>28</v>
      </c>
      <c r="G84" s="25" t="s">
        <v>333</v>
      </c>
      <c r="H84" s="25">
        <v>71</v>
      </c>
      <c r="I84" s="25" t="s">
        <v>32</v>
      </c>
      <c r="J84" s="42">
        <v>50000</v>
      </c>
      <c r="K84" s="53" t="s">
        <v>447</v>
      </c>
      <c r="L84" s="25">
        <v>24983118</v>
      </c>
      <c r="M84" s="30">
        <v>45562</v>
      </c>
      <c r="N84" s="25" t="s">
        <v>334</v>
      </c>
      <c r="O84" s="56">
        <v>36</v>
      </c>
      <c r="P84" s="25" t="s">
        <v>325</v>
      </c>
      <c r="Q84" s="25" t="s">
        <v>316</v>
      </c>
      <c r="R84" s="25" t="s">
        <v>307</v>
      </c>
      <c r="S84" s="31">
        <v>0.2984</v>
      </c>
      <c r="T84" s="25" t="s">
        <v>335</v>
      </c>
      <c r="U84" s="25">
        <v>5</v>
      </c>
      <c r="V84" s="25">
        <v>7</v>
      </c>
      <c r="W84" s="25" t="s">
        <v>37</v>
      </c>
      <c r="X84" s="25" t="s">
        <v>37</v>
      </c>
      <c r="Y84" s="25" t="s">
        <v>37</v>
      </c>
      <c r="Z84" s="25">
        <v>20</v>
      </c>
      <c r="AA84" s="25" t="s">
        <v>37</v>
      </c>
      <c r="AB84" s="25" t="s">
        <v>37</v>
      </c>
      <c r="AC84" s="25" t="s">
        <v>309</v>
      </c>
    </row>
    <row r="85" spans="1:29" ht="15.75" customHeight="1" x14ac:dyDescent="0.3">
      <c r="A85" s="6">
        <v>84</v>
      </c>
      <c r="B85" s="6" t="s">
        <v>27</v>
      </c>
      <c r="C85" s="33" t="s">
        <v>269</v>
      </c>
      <c r="D85" s="25" t="s">
        <v>39</v>
      </c>
      <c r="E85" s="25" t="s">
        <v>336</v>
      </c>
      <c r="F85" s="25" t="s">
        <v>28</v>
      </c>
      <c r="G85" s="25" t="s">
        <v>337</v>
      </c>
      <c r="H85" s="25">
        <v>33</v>
      </c>
      <c r="I85" s="25" t="s">
        <v>32</v>
      </c>
      <c r="J85" s="42">
        <v>20000</v>
      </c>
      <c r="K85" s="53" t="s">
        <v>448</v>
      </c>
      <c r="L85" s="25">
        <v>70554844</v>
      </c>
      <c r="M85" s="30">
        <v>45556</v>
      </c>
      <c r="N85" s="25" t="s">
        <v>334</v>
      </c>
      <c r="O85" s="56">
        <v>36</v>
      </c>
      <c r="P85" s="25" t="s">
        <v>325</v>
      </c>
      <c r="Q85" s="25" t="s">
        <v>316</v>
      </c>
      <c r="R85" s="25" t="s">
        <v>307</v>
      </c>
      <c r="S85" s="31">
        <v>0.29530000000000001</v>
      </c>
      <c r="T85" s="25" t="s">
        <v>338</v>
      </c>
      <c r="U85" s="25">
        <v>5</v>
      </c>
      <c r="V85" s="25">
        <v>4</v>
      </c>
      <c r="W85" s="25" t="s">
        <v>37</v>
      </c>
      <c r="X85" s="25" t="s">
        <v>37</v>
      </c>
      <c r="Y85" s="25" t="s">
        <v>37</v>
      </c>
      <c r="Z85" s="25">
        <v>10</v>
      </c>
      <c r="AA85" s="25" t="s">
        <v>37</v>
      </c>
      <c r="AB85" s="25" t="s">
        <v>37</v>
      </c>
      <c r="AC85" s="25" t="s">
        <v>321</v>
      </c>
    </row>
    <row r="86" spans="1:29" ht="15.75" customHeight="1" x14ac:dyDescent="0.3">
      <c r="A86" s="6">
        <v>85</v>
      </c>
      <c r="B86" s="6" t="s">
        <v>27</v>
      </c>
      <c r="C86" s="33" t="s">
        <v>269</v>
      </c>
      <c r="D86" s="25" t="s">
        <v>58</v>
      </c>
      <c r="E86" s="25" t="s">
        <v>339</v>
      </c>
      <c r="F86" s="25" t="s">
        <v>58</v>
      </c>
      <c r="G86" s="25" t="s">
        <v>340</v>
      </c>
      <c r="H86" s="25">
        <v>51</v>
      </c>
      <c r="I86" s="25" t="s">
        <v>32</v>
      </c>
      <c r="J86" s="42">
        <v>5000</v>
      </c>
      <c r="K86" s="53" t="s">
        <v>449</v>
      </c>
      <c r="L86" s="25">
        <v>31028981</v>
      </c>
      <c r="M86" s="30">
        <v>45566</v>
      </c>
      <c r="N86" s="25" t="s">
        <v>341</v>
      </c>
      <c r="O86" s="56">
        <v>6</v>
      </c>
      <c r="P86" s="25" t="s">
        <v>305</v>
      </c>
      <c r="Q86" s="25" t="s">
        <v>316</v>
      </c>
      <c r="R86" s="25" t="s">
        <v>307</v>
      </c>
      <c r="S86" s="31">
        <v>0.39280000000000004</v>
      </c>
      <c r="T86" s="25" t="s">
        <v>342</v>
      </c>
      <c r="U86" s="25">
        <v>4</v>
      </c>
      <c r="V86" s="25">
        <v>4</v>
      </c>
      <c r="W86" s="25" t="s">
        <v>37</v>
      </c>
      <c r="X86" s="25" t="s">
        <v>37</v>
      </c>
      <c r="Y86" s="25" t="s">
        <v>37</v>
      </c>
      <c r="Z86" s="25">
        <v>20</v>
      </c>
      <c r="AA86" s="25" t="s">
        <v>37</v>
      </c>
      <c r="AB86" s="25" t="s">
        <v>37</v>
      </c>
      <c r="AC86" s="25" t="s">
        <v>321</v>
      </c>
    </row>
    <row r="87" spans="1:29" ht="15.75" customHeight="1" x14ac:dyDescent="0.3">
      <c r="A87" s="6">
        <v>86</v>
      </c>
      <c r="B87" s="6" t="s">
        <v>27</v>
      </c>
      <c r="C87" s="33" t="s">
        <v>269</v>
      </c>
      <c r="D87" s="25" t="s">
        <v>433</v>
      </c>
      <c r="E87" s="25" t="s">
        <v>343</v>
      </c>
      <c r="F87" s="25" t="s">
        <v>94</v>
      </c>
      <c r="G87" s="25" t="s">
        <v>344</v>
      </c>
      <c r="H87" s="25">
        <v>57</v>
      </c>
      <c r="I87" s="25" t="s">
        <v>32</v>
      </c>
      <c r="J87" s="42">
        <v>10000</v>
      </c>
      <c r="K87" s="53" t="s">
        <v>450</v>
      </c>
      <c r="L87" s="25">
        <v>23952827</v>
      </c>
      <c r="M87" s="30">
        <v>45549</v>
      </c>
      <c r="N87" s="25" t="s">
        <v>345</v>
      </c>
      <c r="O87" s="56">
        <v>30</v>
      </c>
      <c r="P87" s="25" t="s">
        <v>305</v>
      </c>
      <c r="Q87" s="25" t="s">
        <v>316</v>
      </c>
      <c r="R87" s="25" t="s">
        <v>307</v>
      </c>
      <c r="S87" s="31">
        <v>0.2984</v>
      </c>
      <c r="T87" s="25" t="s">
        <v>346</v>
      </c>
      <c r="U87" s="25">
        <v>5</v>
      </c>
      <c r="V87" s="25">
        <v>5</v>
      </c>
      <c r="W87" s="25" t="s">
        <v>37</v>
      </c>
      <c r="X87" s="25" t="s">
        <v>37</v>
      </c>
      <c r="Y87" s="25" t="s">
        <v>37</v>
      </c>
      <c r="Z87" s="25">
        <v>25</v>
      </c>
      <c r="AA87" s="25" t="s">
        <v>37</v>
      </c>
      <c r="AB87" s="25" t="s">
        <v>37</v>
      </c>
      <c r="AC87" s="25" t="s">
        <v>321</v>
      </c>
    </row>
    <row r="88" spans="1:29" ht="15.75" customHeight="1" x14ac:dyDescent="0.3">
      <c r="A88" s="6">
        <v>87</v>
      </c>
      <c r="B88" s="6" t="s">
        <v>27</v>
      </c>
      <c r="C88" s="33" t="s">
        <v>269</v>
      </c>
      <c r="D88" s="25" t="s">
        <v>29</v>
      </c>
      <c r="E88" s="25" t="s">
        <v>347</v>
      </c>
      <c r="F88" s="25" t="s">
        <v>58</v>
      </c>
      <c r="G88" s="25" t="s">
        <v>348</v>
      </c>
      <c r="H88" s="25">
        <v>33</v>
      </c>
      <c r="I88" s="25" t="s">
        <v>46</v>
      </c>
      <c r="J88" s="42">
        <v>25000</v>
      </c>
      <c r="K88" s="53" t="s">
        <v>451</v>
      </c>
      <c r="L88" s="25">
        <v>47162683</v>
      </c>
      <c r="M88" s="30">
        <v>45595</v>
      </c>
      <c r="N88" s="25" t="s">
        <v>349</v>
      </c>
      <c r="O88" s="56">
        <v>3</v>
      </c>
      <c r="P88" s="25" t="s">
        <v>305</v>
      </c>
      <c r="Q88" s="25" t="s">
        <v>316</v>
      </c>
      <c r="R88" s="25" t="s">
        <v>307</v>
      </c>
      <c r="S88" s="31">
        <v>0.2742</v>
      </c>
      <c r="T88" s="25" t="s">
        <v>350</v>
      </c>
      <c r="U88" s="25">
        <v>6</v>
      </c>
      <c r="V88" s="25">
        <v>5</v>
      </c>
      <c r="W88" s="25" t="s">
        <v>37</v>
      </c>
      <c r="X88" s="25" t="s">
        <v>37</v>
      </c>
      <c r="Y88" s="25" t="s">
        <v>37</v>
      </c>
      <c r="Z88" s="25">
        <v>10</v>
      </c>
      <c r="AA88" s="25" t="s">
        <v>37</v>
      </c>
      <c r="AB88" s="25" t="s">
        <v>37</v>
      </c>
      <c r="AC88" s="25" t="s">
        <v>309</v>
      </c>
    </row>
    <row r="89" spans="1:29" ht="15.75" customHeight="1" x14ac:dyDescent="0.3">
      <c r="A89" s="6">
        <v>88</v>
      </c>
      <c r="B89" s="6" t="s">
        <v>27</v>
      </c>
      <c r="C89" s="33" t="s">
        <v>269</v>
      </c>
      <c r="D89" s="33" t="s">
        <v>299</v>
      </c>
      <c r="E89" s="33" t="s">
        <v>351</v>
      </c>
      <c r="F89" s="33" t="s">
        <v>28</v>
      </c>
      <c r="G89" s="33" t="s">
        <v>352</v>
      </c>
      <c r="H89" s="33">
        <v>66</v>
      </c>
      <c r="I89" s="33" t="s">
        <v>32</v>
      </c>
      <c r="J89" s="58">
        <v>3000</v>
      </c>
      <c r="K89" s="61" t="s">
        <v>452</v>
      </c>
      <c r="L89" s="33">
        <v>24940202</v>
      </c>
      <c r="M89" s="62">
        <v>45575</v>
      </c>
      <c r="N89" s="33" t="s">
        <v>315</v>
      </c>
      <c r="O89" s="56">
        <v>12</v>
      </c>
      <c r="P89" s="33" t="s">
        <v>305</v>
      </c>
      <c r="Q89" s="57" t="s">
        <v>316</v>
      </c>
      <c r="R89" s="33" t="s">
        <v>307</v>
      </c>
      <c r="S89" s="64">
        <v>0.32919999999999999</v>
      </c>
      <c r="T89" s="33" t="s">
        <v>353</v>
      </c>
      <c r="U89" s="33">
        <v>20</v>
      </c>
      <c r="V89" s="33">
        <v>10</v>
      </c>
      <c r="W89" s="33" t="s">
        <v>37</v>
      </c>
      <c r="X89" s="33" t="s">
        <v>37</v>
      </c>
      <c r="Y89" s="33" t="s">
        <v>37</v>
      </c>
      <c r="Z89" s="55">
        <v>20</v>
      </c>
      <c r="AA89" s="33" t="s">
        <v>37</v>
      </c>
      <c r="AB89" s="33" t="s">
        <v>37</v>
      </c>
      <c r="AC89" s="33" t="s">
        <v>309</v>
      </c>
    </row>
    <row r="90" spans="1:29" ht="15.75" customHeight="1" x14ac:dyDescent="0.3">
      <c r="A90" s="6">
        <v>89</v>
      </c>
      <c r="B90" s="6" t="s">
        <v>27</v>
      </c>
      <c r="C90" s="33" t="s">
        <v>269</v>
      </c>
      <c r="D90" s="25" t="s">
        <v>58</v>
      </c>
      <c r="E90" s="25" t="s">
        <v>354</v>
      </c>
      <c r="F90" s="25" t="s">
        <v>58</v>
      </c>
      <c r="G90" s="25" t="s">
        <v>355</v>
      </c>
      <c r="H90" s="25">
        <v>46</v>
      </c>
      <c r="I90" s="25" t="s">
        <v>32</v>
      </c>
      <c r="J90" s="42">
        <v>20000</v>
      </c>
      <c r="K90" s="52" t="s">
        <v>453</v>
      </c>
      <c r="L90" s="25">
        <v>80118408</v>
      </c>
      <c r="M90" s="30">
        <v>45575</v>
      </c>
      <c r="N90" s="25" t="s">
        <v>304</v>
      </c>
      <c r="O90" s="56">
        <v>24</v>
      </c>
      <c r="P90" s="25" t="s">
        <v>305</v>
      </c>
      <c r="Q90" s="25" t="s">
        <v>316</v>
      </c>
      <c r="R90" s="25" t="s">
        <v>307</v>
      </c>
      <c r="S90" s="31">
        <v>0.42570000000000002</v>
      </c>
      <c r="T90" s="25" t="s">
        <v>356</v>
      </c>
      <c r="U90" s="25">
        <v>10</v>
      </c>
      <c r="V90" s="25">
        <v>5</v>
      </c>
      <c r="W90" s="25" t="s">
        <v>37</v>
      </c>
      <c r="X90" s="25" t="s">
        <v>37</v>
      </c>
      <c r="Y90" s="25" t="s">
        <v>37</v>
      </c>
      <c r="Z90" s="25">
        <v>15</v>
      </c>
      <c r="AA90" s="25" t="s">
        <v>37</v>
      </c>
      <c r="AB90" s="25" t="s">
        <v>37</v>
      </c>
      <c r="AC90" s="25" t="s">
        <v>309</v>
      </c>
    </row>
    <row r="91" spans="1:29" ht="15.75" customHeight="1" x14ac:dyDescent="0.3">
      <c r="A91" s="6">
        <v>90</v>
      </c>
      <c r="B91" s="6" t="s">
        <v>27</v>
      </c>
      <c r="C91" s="33" t="s">
        <v>269</v>
      </c>
      <c r="D91" s="25" t="s">
        <v>29</v>
      </c>
      <c r="E91" s="25" t="s">
        <v>357</v>
      </c>
      <c r="F91" s="25" t="s">
        <v>58</v>
      </c>
      <c r="G91" s="25" t="s">
        <v>358</v>
      </c>
      <c r="H91" s="25">
        <v>60</v>
      </c>
      <c r="I91" s="25" t="s">
        <v>46</v>
      </c>
      <c r="J91" s="42">
        <v>2000</v>
      </c>
      <c r="K91" s="52" t="s">
        <v>454</v>
      </c>
      <c r="L91" s="25">
        <v>23884537</v>
      </c>
      <c r="M91" s="30">
        <v>45575</v>
      </c>
      <c r="N91" s="25" t="s">
        <v>315</v>
      </c>
      <c r="O91" s="56">
        <v>12</v>
      </c>
      <c r="P91" s="25" t="s">
        <v>305</v>
      </c>
      <c r="Q91" s="25" t="s">
        <v>316</v>
      </c>
      <c r="R91" s="25" t="s">
        <v>307</v>
      </c>
      <c r="S91" s="31">
        <v>0.4763</v>
      </c>
      <c r="T91" s="25" t="s">
        <v>359</v>
      </c>
      <c r="U91" s="25">
        <v>5</v>
      </c>
      <c r="V91" s="25">
        <v>4</v>
      </c>
      <c r="W91" s="25" t="s">
        <v>37</v>
      </c>
      <c r="X91" s="25" t="s">
        <v>37</v>
      </c>
      <c r="Y91" s="25" t="s">
        <v>37</v>
      </c>
      <c r="Z91" s="25">
        <v>20</v>
      </c>
      <c r="AA91" s="25" t="s">
        <v>37</v>
      </c>
      <c r="AB91" s="25" t="s">
        <v>37</v>
      </c>
      <c r="AC91" s="25" t="s">
        <v>321</v>
      </c>
    </row>
    <row r="92" spans="1:29" ht="15.75" customHeight="1" x14ac:dyDescent="0.3">
      <c r="A92" s="6">
        <v>91</v>
      </c>
      <c r="B92" s="6" t="s">
        <v>27</v>
      </c>
      <c r="C92" s="33" t="s">
        <v>269</v>
      </c>
      <c r="D92" s="25" t="s">
        <v>70</v>
      </c>
      <c r="E92" s="25" t="s">
        <v>360</v>
      </c>
      <c r="F92" s="25" t="s">
        <v>58</v>
      </c>
      <c r="G92" s="25" t="s">
        <v>361</v>
      </c>
      <c r="H92" s="25">
        <v>63</v>
      </c>
      <c r="I92" s="25" t="s">
        <v>32</v>
      </c>
      <c r="J92" s="42">
        <v>2000</v>
      </c>
      <c r="K92" s="52" t="s">
        <v>455</v>
      </c>
      <c r="L92" s="25">
        <v>24286307</v>
      </c>
      <c r="M92" s="30">
        <v>45574</v>
      </c>
      <c r="N92" s="25" t="s">
        <v>315</v>
      </c>
      <c r="O92" s="56">
        <v>12</v>
      </c>
      <c r="P92" s="25" t="s">
        <v>305</v>
      </c>
      <c r="Q92" s="25" t="s">
        <v>316</v>
      </c>
      <c r="R92" s="25" t="s">
        <v>307</v>
      </c>
      <c r="S92" s="31">
        <v>0.4763</v>
      </c>
      <c r="T92" s="25" t="s">
        <v>362</v>
      </c>
      <c r="U92" s="25">
        <v>9</v>
      </c>
      <c r="V92" s="25">
        <v>3</v>
      </c>
      <c r="W92" s="25" t="s">
        <v>37</v>
      </c>
      <c r="X92" s="25" t="s">
        <v>37</v>
      </c>
      <c r="Y92" s="25" t="s">
        <v>37</v>
      </c>
      <c r="Z92" s="25">
        <v>25</v>
      </c>
      <c r="AA92" s="25" t="s">
        <v>37</v>
      </c>
      <c r="AB92" s="25" t="s">
        <v>37</v>
      </c>
      <c r="AC92" s="25" t="s">
        <v>321</v>
      </c>
    </row>
    <row r="93" spans="1:29" ht="15.75" customHeight="1" x14ac:dyDescent="0.3">
      <c r="A93" s="6">
        <v>92</v>
      </c>
      <c r="B93" s="6" t="s">
        <v>27</v>
      </c>
      <c r="C93" s="33" t="s">
        <v>269</v>
      </c>
      <c r="D93" s="25" t="s">
        <v>39</v>
      </c>
      <c r="E93" s="25" t="s">
        <v>363</v>
      </c>
      <c r="F93" s="25" t="s">
        <v>28</v>
      </c>
      <c r="G93" s="25" t="s">
        <v>364</v>
      </c>
      <c r="H93" s="25">
        <v>53</v>
      </c>
      <c r="I93" s="25" t="s">
        <v>32</v>
      </c>
      <c r="J93" s="42">
        <v>6000</v>
      </c>
      <c r="K93" s="52" t="s">
        <v>456</v>
      </c>
      <c r="L93" s="25">
        <v>25004363</v>
      </c>
      <c r="M93" s="30">
        <v>45553</v>
      </c>
      <c r="N93" s="25" t="s">
        <v>365</v>
      </c>
      <c r="O93" s="56">
        <v>13</v>
      </c>
      <c r="P93" s="25" t="s">
        <v>305</v>
      </c>
      <c r="Q93" s="25" t="s">
        <v>316</v>
      </c>
      <c r="R93" s="25" t="s">
        <v>307</v>
      </c>
      <c r="S93" s="31">
        <v>0.33700000000000002</v>
      </c>
      <c r="T93" s="25" t="s">
        <v>366</v>
      </c>
      <c r="U93" s="25">
        <v>5</v>
      </c>
      <c r="V93" s="25">
        <v>5</v>
      </c>
      <c r="W93" s="25" t="s">
        <v>37</v>
      </c>
      <c r="X93" s="25" t="s">
        <v>37</v>
      </c>
      <c r="Y93" s="25" t="s">
        <v>37</v>
      </c>
      <c r="Z93" s="25">
        <v>20</v>
      </c>
      <c r="AA93" s="25" t="s">
        <v>37</v>
      </c>
      <c r="AB93" s="25" t="s">
        <v>37</v>
      </c>
      <c r="AC93" s="25" t="s">
        <v>309</v>
      </c>
    </row>
    <row r="94" spans="1:29" ht="15.75" customHeight="1" x14ac:dyDescent="0.3">
      <c r="A94" s="6">
        <v>93</v>
      </c>
      <c r="B94" s="6" t="s">
        <v>27</v>
      </c>
      <c r="C94" s="33" t="s">
        <v>269</v>
      </c>
      <c r="D94" s="25" t="s">
        <v>39</v>
      </c>
      <c r="E94" s="25" t="s">
        <v>367</v>
      </c>
      <c r="F94" s="25" t="s">
        <v>28</v>
      </c>
      <c r="G94" s="25" t="s">
        <v>368</v>
      </c>
      <c r="H94" s="25">
        <v>27</v>
      </c>
      <c r="I94" s="25" t="s">
        <v>32</v>
      </c>
      <c r="J94" s="42">
        <v>5000</v>
      </c>
      <c r="K94" s="52" t="s">
        <v>457</v>
      </c>
      <c r="L94" s="25">
        <v>73478514</v>
      </c>
      <c r="M94" s="30">
        <v>45553</v>
      </c>
      <c r="N94" s="25" t="s">
        <v>315</v>
      </c>
      <c r="O94" s="56">
        <v>12</v>
      </c>
      <c r="P94" s="25" t="s">
        <v>305</v>
      </c>
      <c r="Q94" s="25" t="s">
        <v>316</v>
      </c>
      <c r="R94" s="25" t="s">
        <v>307</v>
      </c>
      <c r="S94" s="31">
        <v>0.39280000000000004</v>
      </c>
      <c r="T94" s="25" t="s">
        <v>369</v>
      </c>
      <c r="U94" s="25">
        <v>3</v>
      </c>
      <c r="V94" s="25">
        <v>3</v>
      </c>
      <c r="W94" s="25" t="s">
        <v>37</v>
      </c>
      <c r="X94" s="25" t="s">
        <v>37</v>
      </c>
      <c r="Y94" s="25" t="s">
        <v>37</v>
      </c>
      <c r="Z94" s="25">
        <v>5</v>
      </c>
      <c r="AA94" s="25" t="s">
        <v>37</v>
      </c>
      <c r="AB94" s="25" t="s">
        <v>37</v>
      </c>
      <c r="AC94" s="25" t="s">
        <v>309</v>
      </c>
    </row>
    <row r="95" spans="1:29" ht="15.75" customHeight="1" x14ac:dyDescent="0.3">
      <c r="A95" s="6">
        <v>94</v>
      </c>
      <c r="B95" s="6" t="s">
        <v>27</v>
      </c>
      <c r="C95" s="33" t="s">
        <v>269</v>
      </c>
      <c r="D95" s="25" t="s">
        <v>39</v>
      </c>
      <c r="E95" s="25" t="s">
        <v>370</v>
      </c>
      <c r="F95" s="25" t="s">
        <v>28</v>
      </c>
      <c r="G95" s="25" t="s">
        <v>371</v>
      </c>
      <c r="H95" s="25">
        <v>54</v>
      </c>
      <c r="I95" s="25" t="s">
        <v>32</v>
      </c>
      <c r="J95" s="42">
        <v>10000</v>
      </c>
      <c r="K95" s="52" t="s">
        <v>458</v>
      </c>
      <c r="L95" s="25">
        <v>24992099</v>
      </c>
      <c r="M95" s="30">
        <v>45553</v>
      </c>
      <c r="N95" s="25" t="s">
        <v>315</v>
      </c>
      <c r="O95" s="56">
        <v>12</v>
      </c>
      <c r="P95" s="25" t="s">
        <v>305</v>
      </c>
      <c r="Q95" s="25" t="s">
        <v>316</v>
      </c>
      <c r="R95" s="25" t="s">
        <v>307</v>
      </c>
      <c r="S95" s="31">
        <v>0.28770000000000001</v>
      </c>
      <c r="T95" s="25" t="s">
        <v>372</v>
      </c>
      <c r="U95" s="25">
        <v>7</v>
      </c>
      <c r="V95" s="25">
        <v>5</v>
      </c>
      <c r="W95" s="25" t="s">
        <v>37</v>
      </c>
      <c r="X95" s="25" t="s">
        <v>37</v>
      </c>
      <c r="Y95" s="25" t="s">
        <v>37</v>
      </c>
      <c r="Z95" s="25">
        <v>20</v>
      </c>
      <c r="AA95" s="25" t="s">
        <v>37</v>
      </c>
      <c r="AB95" s="25" t="s">
        <v>37</v>
      </c>
      <c r="AC95" s="25" t="s">
        <v>309</v>
      </c>
    </row>
    <row r="96" spans="1:29" ht="15.75" customHeight="1" x14ac:dyDescent="0.3">
      <c r="A96" s="6">
        <v>95</v>
      </c>
      <c r="B96" s="6" t="s">
        <v>27</v>
      </c>
      <c r="C96" s="33" t="s">
        <v>269</v>
      </c>
      <c r="D96" s="25" t="s">
        <v>29</v>
      </c>
      <c r="E96" s="25" t="s">
        <v>313</v>
      </c>
      <c r="F96" s="25" t="s">
        <v>28</v>
      </c>
      <c r="G96" s="25" t="s">
        <v>373</v>
      </c>
      <c r="H96" s="25">
        <v>47</v>
      </c>
      <c r="I96" s="25" t="s">
        <v>32</v>
      </c>
      <c r="J96" s="42">
        <v>45000</v>
      </c>
      <c r="K96" s="52" t="s">
        <v>459</v>
      </c>
      <c r="L96" s="25">
        <v>80679378</v>
      </c>
      <c r="M96" s="30">
        <v>45638</v>
      </c>
      <c r="N96" s="25" t="s">
        <v>334</v>
      </c>
      <c r="O96" s="56">
        <v>36</v>
      </c>
      <c r="P96" s="25" t="s">
        <v>325</v>
      </c>
      <c r="Q96" s="25" t="s">
        <v>316</v>
      </c>
      <c r="R96" s="25" t="s">
        <v>374</v>
      </c>
      <c r="S96" s="9">
        <v>0.2742</v>
      </c>
      <c r="T96" s="25" t="s">
        <v>375</v>
      </c>
      <c r="U96" s="25">
        <v>15</v>
      </c>
      <c r="V96" s="25">
        <v>12</v>
      </c>
      <c r="W96" s="25" t="s">
        <v>37</v>
      </c>
      <c r="X96" s="25" t="s">
        <v>37</v>
      </c>
      <c r="Y96" s="25" t="s">
        <v>37</v>
      </c>
      <c r="Z96" s="25">
        <v>25</v>
      </c>
      <c r="AA96" s="25" t="s">
        <v>37</v>
      </c>
      <c r="AB96" s="25" t="s">
        <v>37</v>
      </c>
      <c r="AC96" s="25" t="s">
        <v>309</v>
      </c>
    </row>
    <row r="97" spans="1:29" ht="15.75" customHeight="1" x14ac:dyDescent="0.3">
      <c r="A97" s="6">
        <v>96</v>
      </c>
      <c r="B97" s="6" t="s">
        <v>27</v>
      </c>
      <c r="C97" s="33" t="s">
        <v>269</v>
      </c>
      <c r="D97" s="25" t="s">
        <v>29</v>
      </c>
      <c r="E97" s="25" t="s">
        <v>376</v>
      </c>
      <c r="F97" s="25" t="s">
        <v>28</v>
      </c>
      <c r="G97" s="25" t="s">
        <v>377</v>
      </c>
      <c r="H97" s="25">
        <v>60</v>
      </c>
      <c r="I97" s="25" t="s">
        <v>46</v>
      </c>
      <c r="J97" s="42">
        <v>10000</v>
      </c>
      <c r="K97" s="52" t="s">
        <v>460</v>
      </c>
      <c r="L97" s="25">
        <v>24942684</v>
      </c>
      <c r="M97" s="30">
        <v>45551</v>
      </c>
      <c r="N97" s="25" t="s">
        <v>378</v>
      </c>
      <c r="O97" s="56">
        <v>8</v>
      </c>
      <c r="P97" s="25" t="s">
        <v>305</v>
      </c>
      <c r="Q97" s="25" t="s">
        <v>316</v>
      </c>
      <c r="R97" s="25" t="s">
        <v>307</v>
      </c>
      <c r="S97" s="9">
        <v>0.2802</v>
      </c>
      <c r="T97" s="25" t="s">
        <v>379</v>
      </c>
      <c r="U97" s="25">
        <v>5</v>
      </c>
      <c r="V97" s="25">
        <v>4</v>
      </c>
      <c r="W97" s="25" t="s">
        <v>37</v>
      </c>
      <c r="X97" s="25" t="s">
        <v>37</v>
      </c>
      <c r="Y97" s="25" t="s">
        <v>37</v>
      </c>
      <c r="Z97" s="25">
        <v>30</v>
      </c>
      <c r="AA97" s="25" t="s">
        <v>37</v>
      </c>
      <c r="AB97" s="25" t="s">
        <v>37</v>
      </c>
      <c r="AC97" s="25" t="s">
        <v>309</v>
      </c>
    </row>
    <row r="98" spans="1:29" ht="15.75" customHeight="1" x14ac:dyDescent="0.3">
      <c r="A98" s="6">
        <v>97</v>
      </c>
      <c r="B98" s="6" t="s">
        <v>27</v>
      </c>
      <c r="C98" s="33" t="s">
        <v>269</v>
      </c>
      <c r="D98" s="25" t="s">
        <v>29</v>
      </c>
      <c r="E98" s="25" t="s">
        <v>380</v>
      </c>
      <c r="F98" s="25" t="s">
        <v>28</v>
      </c>
      <c r="G98" s="25" t="s">
        <v>381</v>
      </c>
      <c r="H98" s="25">
        <v>67</v>
      </c>
      <c r="I98" s="25" t="s">
        <v>46</v>
      </c>
      <c r="J98" s="42">
        <v>5000</v>
      </c>
      <c r="K98" s="52" t="s">
        <v>461</v>
      </c>
      <c r="L98" s="25">
        <v>24952156</v>
      </c>
      <c r="M98" s="30">
        <v>45551</v>
      </c>
      <c r="N98" s="25" t="s">
        <v>341</v>
      </c>
      <c r="O98" s="56">
        <v>6</v>
      </c>
      <c r="P98" s="25" t="s">
        <v>305</v>
      </c>
      <c r="Q98" s="25" t="s">
        <v>316</v>
      </c>
      <c r="R98" s="25" t="s">
        <v>307</v>
      </c>
      <c r="S98" s="9">
        <v>0.32140000000000002</v>
      </c>
      <c r="T98" s="25" t="s">
        <v>382</v>
      </c>
      <c r="U98" s="25">
        <v>6</v>
      </c>
      <c r="V98" s="25">
        <v>4</v>
      </c>
      <c r="W98" s="25" t="s">
        <v>37</v>
      </c>
      <c r="X98" s="25" t="s">
        <v>37</v>
      </c>
      <c r="Y98" s="25" t="s">
        <v>37</v>
      </c>
      <c r="Z98" s="25">
        <v>15</v>
      </c>
      <c r="AA98" s="25" t="s">
        <v>37</v>
      </c>
      <c r="AB98" s="25" t="s">
        <v>37</v>
      </c>
      <c r="AC98" s="25" t="s">
        <v>309</v>
      </c>
    </row>
    <row r="99" spans="1:29" ht="15.75" customHeight="1" x14ac:dyDescent="0.3">
      <c r="A99" s="6">
        <v>98</v>
      </c>
      <c r="B99" s="6" t="s">
        <v>27</v>
      </c>
      <c r="C99" s="33" t="s">
        <v>269</v>
      </c>
      <c r="D99" s="25" t="s">
        <v>29</v>
      </c>
      <c r="E99" s="25" t="s">
        <v>383</v>
      </c>
      <c r="F99" s="25" t="s">
        <v>28</v>
      </c>
      <c r="G99" s="25" t="s">
        <v>384</v>
      </c>
      <c r="H99" s="25">
        <v>56</v>
      </c>
      <c r="I99" s="25" t="s">
        <v>46</v>
      </c>
      <c r="J99" s="42">
        <v>15000</v>
      </c>
      <c r="K99" s="52" t="s">
        <v>462</v>
      </c>
      <c r="L99" s="25">
        <v>24988245</v>
      </c>
      <c r="M99" s="30">
        <v>45548</v>
      </c>
      <c r="N99" s="25" t="s">
        <v>341</v>
      </c>
      <c r="O99" s="56">
        <v>6</v>
      </c>
      <c r="P99" s="25" t="s">
        <v>305</v>
      </c>
      <c r="Q99" s="25" t="s">
        <v>316</v>
      </c>
      <c r="R99" s="25" t="s">
        <v>307</v>
      </c>
      <c r="S99" s="9">
        <v>0.2802</v>
      </c>
      <c r="T99" s="25" t="s">
        <v>385</v>
      </c>
      <c r="U99" s="25">
        <v>8</v>
      </c>
      <c r="V99" s="25">
        <v>8</v>
      </c>
      <c r="W99" s="25" t="s">
        <v>37</v>
      </c>
      <c r="X99" s="25" t="s">
        <v>37</v>
      </c>
      <c r="Y99" s="25" t="s">
        <v>37</v>
      </c>
      <c r="Z99" s="25">
        <v>20</v>
      </c>
      <c r="AA99" s="25" t="s">
        <v>37</v>
      </c>
      <c r="AB99" s="25" t="s">
        <v>37</v>
      </c>
      <c r="AC99" s="25" t="s">
        <v>309</v>
      </c>
    </row>
    <row r="100" spans="1:29" ht="15.75" customHeight="1" x14ac:dyDescent="0.3">
      <c r="A100" s="6">
        <v>99</v>
      </c>
      <c r="B100" s="6" t="s">
        <v>27</v>
      </c>
      <c r="C100" s="33" t="s">
        <v>269</v>
      </c>
      <c r="D100" s="25" t="s">
        <v>29</v>
      </c>
      <c r="E100" s="25" t="s">
        <v>313</v>
      </c>
      <c r="F100" s="25" t="s">
        <v>28</v>
      </c>
      <c r="G100" s="25" t="s">
        <v>386</v>
      </c>
      <c r="H100" s="25">
        <v>66</v>
      </c>
      <c r="I100" s="25" t="s">
        <v>32</v>
      </c>
      <c r="J100" s="42">
        <v>2000</v>
      </c>
      <c r="K100" s="52" t="s">
        <v>463</v>
      </c>
      <c r="L100" s="25">
        <v>24952740</v>
      </c>
      <c r="M100" s="30">
        <v>45547</v>
      </c>
      <c r="N100" s="25" t="s">
        <v>315</v>
      </c>
      <c r="O100" s="56">
        <v>12</v>
      </c>
      <c r="P100" s="25" t="s">
        <v>305</v>
      </c>
      <c r="Q100" s="25" t="s">
        <v>316</v>
      </c>
      <c r="R100" s="25" t="s">
        <v>307</v>
      </c>
      <c r="S100" s="9">
        <v>0.4763</v>
      </c>
      <c r="T100" s="25" t="s">
        <v>387</v>
      </c>
      <c r="U100" s="25">
        <v>4</v>
      </c>
      <c r="V100" s="25">
        <v>3</v>
      </c>
      <c r="W100" s="25" t="s">
        <v>37</v>
      </c>
      <c r="X100" s="25" t="s">
        <v>37</v>
      </c>
      <c r="Y100" s="25" t="s">
        <v>37</v>
      </c>
      <c r="Z100" s="25">
        <v>15</v>
      </c>
      <c r="AA100" s="25" t="s">
        <v>37</v>
      </c>
      <c r="AB100" s="25" t="s">
        <v>37</v>
      </c>
      <c r="AC100" s="25" t="s">
        <v>321</v>
      </c>
    </row>
    <row r="101" spans="1:29" ht="15.75" customHeight="1" x14ac:dyDescent="0.3">
      <c r="A101" s="6">
        <v>100</v>
      </c>
      <c r="B101" s="6" t="s">
        <v>27</v>
      </c>
      <c r="C101" s="33" t="s">
        <v>269</v>
      </c>
      <c r="D101" s="25" t="s">
        <v>29</v>
      </c>
      <c r="E101" s="25" t="s">
        <v>313</v>
      </c>
      <c r="F101" s="25" t="s">
        <v>28</v>
      </c>
      <c r="G101" s="25" t="s">
        <v>388</v>
      </c>
      <c r="H101" s="25">
        <v>44</v>
      </c>
      <c r="I101" s="25" t="s">
        <v>32</v>
      </c>
      <c r="J101" s="42">
        <v>2000</v>
      </c>
      <c r="K101" s="52" t="s">
        <v>464</v>
      </c>
      <c r="L101" s="25">
        <v>42680079</v>
      </c>
      <c r="M101" s="30">
        <v>45547</v>
      </c>
      <c r="N101" s="25" t="s">
        <v>341</v>
      </c>
      <c r="O101" s="56">
        <v>6</v>
      </c>
      <c r="P101" s="25" t="s">
        <v>305</v>
      </c>
      <c r="Q101" s="25" t="s">
        <v>316</v>
      </c>
      <c r="R101" s="25" t="s">
        <v>307</v>
      </c>
      <c r="S101" s="9">
        <v>0.4763</v>
      </c>
      <c r="T101" s="25" t="s">
        <v>389</v>
      </c>
      <c r="U101" s="25">
        <v>4</v>
      </c>
      <c r="V101" s="25">
        <v>4</v>
      </c>
      <c r="W101" s="25" t="s">
        <v>37</v>
      </c>
      <c r="X101" s="25" t="s">
        <v>37</v>
      </c>
      <c r="Y101" s="25" t="s">
        <v>37</v>
      </c>
      <c r="Z101" s="25">
        <v>10</v>
      </c>
      <c r="AA101" s="25" t="s">
        <v>37</v>
      </c>
      <c r="AB101" s="25" t="s">
        <v>37</v>
      </c>
      <c r="AC101" s="25" t="s">
        <v>321</v>
      </c>
    </row>
    <row r="102" spans="1:29" ht="15.75" customHeight="1" x14ac:dyDescent="0.3">
      <c r="A102" s="6">
        <v>101</v>
      </c>
      <c r="B102" s="6" t="s">
        <v>27</v>
      </c>
      <c r="C102" s="33" t="s">
        <v>269</v>
      </c>
      <c r="D102" s="25" t="s">
        <v>29</v>
      </c>
      <c r="E102" s="25" t="s">
        <v>302</v>
      </c>
      <c r="F102" s="25" t="s">
        <v>28</v>
      </c>
      <c r="G102" s="25" t="s">
        <v>390</v>
      </c>
      <c r="H102" s="25">
        <v>41</v>
      </c>
      <c r="I102" s="25" t="s">
        <v>46</v>
      </c>
      <c r="J102" s="42">
        <v>3000</v>
      </c>
      <c r="K102" s="52" t="s">
        <v>465</v>
      </c>
      <c r="L102" s="25">
        <v>41733890</v>
      </c>
      <c r="M102" s="30">
        <v>45607</v>
      </c>
      <c r="N102" s="25" t="s">
        <v>315</v>
      </c>
      <c r="O102" s="56">
        <v>12</v>
      </c>
      <c r="P102" s="25" t="s">
        <v>305</v>
      </c>
      <c r="Q102" s="25" t="s">
        <v>316</v>
      </c>
      <c r="R102" s="25" t="s">
        <v>307</v>
      </c>
      <c r="S102" s="9">
        <v>0.31369999999999998</v>
      </c>
      <c r="T102" s="25" t="s">
        <v>391</v>
      </c>
      <c r="U102" s="25">
        <v>4</v>
      </c>
      <c r="V102" s="25">
        <v>3</v>
      </c>
      <c r="W102" s="25" t="s">
        <v>37</v>
      </c>
      <c r="X102" s="25" t="s">
        <v>37</v>
      </c>
      <c r="Y102" s="25" t="s">
        <v>37</v>
      </c>
      <c r="Z102" s="25">
        <v>12</v>
      </c>
      <c r="AA102" s="25" t="s">
        <v>37</v>
      </c>
      <c r="AB102" s="25" t="s">
        <v>37</v>
      </c>
      <c r="AC102" s="25" t="s">
        <v>309</v>
      </c>
    </row>
    <row r="103" spans="1:29" ht="15.75" customHeight="1" x14ac:dyDescent="0.3">
      <c r="A103" s="6">
        <v>102</v>
      </c>
      <c r="B103" s="6" t="s">
        <v>27</v>
      </c>
      <c r="C103" s="33" t="s">
        <v>269</v>
      </c>
      <c r="D103" s="25" t="s">
        <v>29</v>
      </c>
      <c r="E103" s="25" t="s">
        <v>392</v>
      </c>
      <c r="F103" s="25" t="s">
        <v>28</v>
      </c>
      <c r="G103" s="25" t="s">
        <v>393</v>
      </c>
      <c r="H103" s="25">
        <v>50</v>
      </c>
      <c r="I103" s="25" t="s">
        <v>46</v>
      </c>
      <c r="J103" s="42">
        <v>3000</v>
      </c>
      <c r="K103" s="52" t="s">
        <v>466</v>
      </c>
      <c r="L103" s="25">
        <v>24995754</v>
      </c>
      <c r="M103" s="30">
        <v>45542</v>
      </c>
      <c r="N103" s="25" t="s">
        <v>315</v>
      </c>
      <c r="O103" s="56">
        <v>12</v>
      </c>
      <c r="P103" s="25" t="s">
        <v>305</v>
      </c>
      <c r="Q103" s="25" t="s">
        <v>316</v>
      </c>
      <c r="R103" s="25" t="s">
        <v>307</v>
      </c>
      <c r="S103" s="9">
        <v>0.32919999999999999</v>
      </c>
      <c r="T103" s="25" t="s">
        <v>394</v>
      </c>
      <c r="U103" s="25">
        <v>5</v>
      </c>
      <c r="V103" s="25">
        <v>4</v>
      </c>
      <c r="W103" s="25" t="s">
        <v>37</v>
      </c>
      <c r="X103" s="25" t="s">
        <v>37</v>
      </c>
      <c r="Y103" s="25" t="s">
        <v>37</v>
      </c>
      <c r="Z103" s="25">
        <v>10</v>
      </c>
      <c r="AA103" s="25" t="s">
        <v>37</v>
      </c>
      <c r="AB103" s="25" t="s">
        <v>37</v>
      </c>
      <c r="AC103" s="25" t="s">
        <v>309</v>
      </c>
    </row>
    <row r="104" spans="1:29" ht="15.75" customHeight="1" x14ac:dyDescent="0.3">
      <c r="A104" s="6">
        <v>103</v>
      </c>
      <c r="B104" s="6" t="s">
        <v>27</v>
      </c>
      <c r="C104" s="33" t="s">
        <v>269</v>
      </c>
      <c r="D104" s="25" t="s">
        <v>29</v>
      </c>
      <c r="E104" s="25" t="s">
        <v>395</v>
      </c>
      <c r="F104" s="25" t="s">
        <v>28</v>
      </c>
      <c r="G104" s="25" t="s">
        <v>396</v>
      </c>
      <c r="H104" s="25">
        <v>28</v>
      </c>
      <c r="I104" s="25" t="s">
        <v>32</v>
      </c>
      <c r="J104" s="42">
        <v>20000</v>
      </c>
      <c r="K104" s="52" t="s">
        <v>467</v>
      </c>
      <c r="L104" s="25">
        <v>76546202</v>
      </c>
      <c r="M104" s="30">
        <v>45533</v>
      </c>
      <c r="N104" s="25" t="s">
        <v>315</v>
      </c>
      <c r="O104" s="56">
        <v>12</v>
      </c>
      <c r="P104" s="25" t="s">
        <v>305</v>
      </c>
      <c r="Q104" s="25" t="s">
        <v>316</v>
      </c>
      <c r="R104" s="25" t="s">
        <v>307</v>
      </c>
      <c r="S104" s="9">
        <v>0.28620000000000001</v>
      </c>
      <c r="T104" s="25" t="s">
        <v>397</v>
      </c>
      <c r="U104" s="25">
        <v>10</v>
      </c>
      <c r="V104" s="25">
        <v>8</v>
      </c>
      <c r="W104" s="25" t="s">
        <v>37</v>
      </c>
      <c r="X104" s="25" t="s">
        <v>37</v>
      </c>
      <c r="Y104" s="25" t="s">
        <v>37</v>
      </c>
      <c r="Z104" s="25">
        <v>6</v>
      </c>
      <c r="AA104" s="25" t="s">
        <v>37</v>
      </c>
      <c r="AB104" s="25" t="s">
        <v>37</v>
      </c>
      <c r="AC104" s="25" t="s">
        <v>309</v>
      </c>
    </row>
    <row r="105" spans="1:29" ht="15.75" customHeight="1" x14ac:dyDescent="0.3">
      <c r="A105" s="6">
        <v>104</v>
      </c>
      <c r="B105" s="6" t="s">
        <v>27</v>
      </c>
      <c r="C105" s="33" t="s">
        <v>269</v>
      </c>
      <c r="D105" s="25" t="s">
        <v>299</v>
      </c>
      <c r="E105" s="25" t="s">
        <v>398</v>
      </c>
      <c r="F105" s="25" t="s">
        <v>28</v>
      </c>
      <c r="G105" s="25" t="s">
        <v>399</v>
      </c>
      <c r="H105" s="25">
        <v>68</v>
      </c>
      <c r="I105" s="25" t="s">
        <v>46</v>
      </c>
      <c r="J105" s="42">
        <v>15000</v>
      </c>
      <c r="K105" s="52" t="s">
        <v>468</v>
      </c>
      <c r="L105" s="25">
        <v>24968870</v>
      </c>
      <c r="M105" s="30">
        <v>45533</v>
      </c>
      <c r="N105" s="25" t="s">
        <v>304</v>
      </c>
      <c r="O105" s="56">
        <v>24</v>
      </c>
      <c r="P105" s="25" t="s">
        <v>305</v>
      </c>
      <c r="Q105" s="25" t="s">
        <v>316</v>
      </c>
      <c r="R105" s="25" t="s">
        <v>307</v>
      </c>
      <c r="S105" s="9">
        <v>0.31369999999999998</v>
      </c>
      <c r="T105" s="25" t="s">
        <v>400</v>
      </c>
      <c r="U105" s="25">
        <v>9</v>
      </c>
      <c r="V105" s="25">
        <v>9</v>
      </c>
      <c r="W105" s="25" t="s">
        <v>37</v>
      </c>
      <c r="X105" s="25" t="s">
        <v>37</v>
      </c>
      <c r="Y105" s="25" t="s">
        <v>37</v>
      </c>
      <c r="Z105" s="25">
        <v>12</v>
      </c>
      <c r="AA105" s="25" t="s">
        <v>37</v>
      </c>
      <c r="AB105" s="25" t="s">
        <v>37</v>
      </c>
      <c r="AC105" s="25" t="s">
        <v>321</v>
      </c>
    </row>
    <row r="106" spans="1:29" ht="15.75" customHeight="1" x14ac:dyDescent="0.3">
      <c r="A106" s="6">
        <v>105</v>
      </c>
      <c r="B106" s="6" t="s">
        <v>27</v>
      </c>
      <c r="C106" s="33" t="s">
        <v>269</v>
      </c>
      <c r="D106" s="25" t="s">
        <v>29</v>
      </c>
      <c r="E106" s="25" t="s">
        <v>401</v>
      </c>
      <c r="F106" s="25" t="s">
        <v>28</v>
      </c>
      <c r="G106" s="25" t="s">
        <v>402</v>
      </c>
      <c r="H106" s="25">
        <v>42</v>
      </c>
      <c r="I106" s="25" t="s">
        <v>32</v>
      </c>
      <c r="J106" s="42">
        <v>5000</v>
      </c>
      <c r="K106" s="52" t="s">
        <v>469</v>
      </c>
      <c r="L106" s="25">
        <v>42621829</v>
      </c>
      <c r="M106" s="30">
        <v>45583</v>
      </c>
      <c r="N106" s="25" t="s">
        <v>341</v>
      </c>
      <c r="O106" s="56">
        <v>6</v>
      </c>
      <c r="P106" s="25" t="s">
        <v>305</v>
      </c>
      <c r="Q106" s="25" t="s">
        <v>316</v>
      </c>
      <c r="R106" s="25" t="s">
        <v>307</v>
      </c>
      <c r="S106" s="9">
        <v>0.32140000000000002</v>
      </c>
      <c r="T106" s="25" t="s">
        <v>403</v>
      </c>
      <c r="U106" s="25">
        <v>7</v>
      </c>
      <c r="V106" s="25">
        <v>5</v>
      </c>
      <c r="W106" s="25" t="s">
        <v>37</v>
      </c>
      <c r="X106" s="25" t="s">
        <v>37</v>
      </c>
      <c r="Y106" s="25" t="s">
        <v>37</v>
      </c>
      <c r="Z106" s="25">
        <v>8</v>
      </c>
      <c r="AA106" s="25" t="s">
        <v>37</v>
      </c>
      <c r="AB106" s="25" t="s">
        <v>37</v>
      </c>
      <c r="AC106" s="25" t="s">
        <v>309</v>
      </c>
    </row>
    <row r="107" spans="1:29" ht="15.75" customHeight="1" x14ac:dyDescent="0.3">
      <c r="A107" s="6">
        <v>106</v>
      </c>
      <c r="B107" s="6" t="s">
        <v>27</v>
      </c>
      <c r="C107" s="33" t="s">
        <v>269</v>
      </c>
      <c r="D107" s="25" t="s">
        <v>39</v>
      </c>
      <c r="E107" s="25" t="s">
        <v>404</v>
      </c>
      <c r="F107" s="25" t="s">
        <v>28</v>
      </c>
      <c r="G107" s="25" t="s">
        <v>405</v>
      </c>
      <c r="H107" s="25">
        <v>31</v>
      </c>
      <c r="I107" s="25" t="s">
        <v>32</v>
      </c>
      <c r="J107" s="42">
        <v>5000</v>
      </c>
      <c r="K107" s="52" t="s">
        <v>470</v>
      </c>
      <c r="L107" s="25">
        <v>62097411</v>
      </c>
      <c r="M107" s="30">
        <v>45530</v>
      </c>
      <c r="N107" s="25" t="s">
        <v>315</v>
      </c>
      <c r="O107" s="56">
        <v>12</v>
      </c>
      <c r="P107" s="25" t="s">
        <v>305</v>
      </c>
      <c r="Q107" s="25" t="s">
        <v>316</v>
      </c>
      <c r="R107" s="25" t="s">
        <v>307</v>
      </c>
      <c r="S107" s="9">
        <v>0.33229999999999998</v>
      </c>
      <c r="T107" s="25" t="s">
        <v>406</v>
      </c>
      <c r="U107" s="25">
        <v>4</v>
      </c>
      <c r="V107" s="25">
        <v>3</v>
      </c>
      <c r="W107" s="25" t="s">
        <v>37</v>
      </c>
      <c r="X107" s="25" t="s">
        <v>37</v>
      </c>
      <c r="Y107" s="25" t="s">
        <v>37</v>
      </c>
      <c r="Z107" s="25">
        <v>10</v>
      </c>
      <c r="AA107" s="25" t="s">
        <v>37</v>
      </c>
      <c r="AB107" s="25" t="s">
        <v>37</v>
      </c>
      <c r="AC107" s="25" t="s">
        <v>309</v>
      </c>
    </row>
    <row r="108" spans="1:29" ht="15.75" customHeight="1" x14ac:dyDescent="0.3">
      <c r="A108" s="6">
        <v>107</v>
      </c>
      <c r="B108" s="6" t="s">
        <v>27</v>
      </c>
      <c r="C108" s="33" t="s">
        <v>269</v>
      </c>
      <c r="D108" s="25" t="s">
        <v>39</v>
      </c>
      <c r="E108" s="25" t="s">
        <v>407</v>
      </c>
      <c r="F108" s="25" t="s">
        <v>28</v>
      </c>
      <c r="G108" s="25" t="s">
        <v>408</v>
      </c>
      <c r="H108" s="25">
        <v>48</v>
      </c>
      <c r="I108" s="25" t="s">
        <v>32</v>
      </c>
      <c r="J108" s="42">
        <v>2000</v>
      </c>
      <c r="K108" s="52" t="s">
        <v>471</v>
      </c>
      <c r="L108" s="25">
        <v>25326513</v>
      </c>
      <c r="M108" s="30">
        <v>45530</v>
      </c>
      <c r="N108" s="25" t="s">
        <v>315</v>
      </c>
      <c r="O108" s="56">
        <v>12</v>
      </c>
      <c r="P108" s="25" t="s">
        <v>305</v>
      </c>
      <c r="Q108" s="25" t="s">
        <v>316</v>
      </c>
      <c r="R108" s="25" t="s">
        <v>307</v>
      </c>
      <c r="S108" s="9">
        <v>0.4763</v>
      </c>
      <c r="T108" s="25" t="s">
        <v>409</v>
      </c>
      <c r="U108" s="25">
        <v>5</v>
      </c>
      <c r="V108" s="25">
        <v>4</v>
      </c>
      <c r="W108" s="25" t="s">
        <v>37</v>
      </c>
      <c r="X108" s="25" t="s">
        <v>37</v>
      </c>
      <c r="Y108" s="25" t="s">
        <v>37</v>
      </c>
      <c r="Z108" s="25">
        <v>8</v>
      </c>
      <c r="AA108" s="25" t="s">
        <v>37</v>
      </c>
      <c r="AB108" s="25" t="s">
        <v>37</v>
      </c>
      <c r="AC108" s="25" t="s">
        <v>321</v>
      </c>
    </row>
    <row r="109" spans="1:29" ht="15.75" customHeight="1" x14ac:dyDescent="0.3">
      <c r="A109" s="6">
        <v>108</v>
      </c>
      <c r="B109" s="6" t="s">
        <v>27</v>
      </c>
      <c r="C109" s="33" t="s">
        <v>269</v>
      </c>
      <c r="D109" s="25" t="s">
        <v>29</v>
      </c>
      <c r="E109" s="25" t="s">
        <v>410</v>
      </c>
      <c r="F109" s="25" t="s">
        <v>28</v>
      </c>
      <c r="G109" s="25" t="s">
        <v>411</v>
      </c>
      <c r="H109" s="25">
        <v>53</v>
      </c>
      <c r="I109" s="25" t="s">
        <v>32</v>
      </c>
      <c r="J109" s="42">
        <v>8000</v>
      </c>
      <c r="K109" s="52" t="s">
        <v>472</v>
      </c>
      <c r="L109" s="25">
        <v>24992672</v>
      </c>
      <c r="M109" s="30">
        <v>45523</v>
      </c>
      <c r="N109" s="25" t="s">
        <v>315</v>
      </c>
      <c r="O109" s="56">
        <v>12</v>
      </c>
      <c r="P109" s="25" t="s">
        <v>305</v>
      </c>
      <c r="Q109" s="25" t="s">
        <v>316</v>
      </c>
      <c r="R109" s="25" t="s">
        <v>307</v>
      </c>
      <c r="S109" s="9">
        <v>0.32140000000000002</v>
      </c>
      <c r="T109" s="25" t="s">
        <v>412</v>
      </c>
      <c r="U109" s="25">
        <v>3</v>
      </c>
      <c r="V109" s="25">
        <v>3</v>
      </c>
      <c r="W109" s="25" t="s">
        <v>37</v>
      </c>
      <c r="X109" s="25" t="s">
        <v>37</v>
      </c>
      <c r="Y109" s="25" t="s">
        <v>37</v>
      </c>
      <c r="Z109" s="25">
        <v>11</v>
      </c>
      <c r="AA109" s="25" t="s">
        <v>37</v>
      </c>
      <c r="AB109" s="25" t="s">
        <v>37</v>
      </c>
      <c r="AC109" s="25" t="s">
        <v>309</v>
      </c>
    </row>
    <row r="110" spans="1:29" ht="15.75" customHeight="1" x14ac:dyDescent="0.3">
      <c r="A110" s="6">
        <v>109</v>
      </c>
      <c r="B110" s="6" t="s">
        <v>27</v>
      </c>
      <c r="C110" s="33" t="s">
        <v>269</v>
      </c>
      <c r="D110" s="25" t="s">
        <v>29</v>
      </c>
      <c r="E110" s="25" t="s">
        <v>413</v>
      </c>
      <c r="F110" s="25" t="s">
        <v>28</v>
      </c>
      <c r="G110" s="25" t="s">
        <v>414</v>
      </c>
      <c r="H110" s="25">
        <v>32</v>
      </c>
      <c r="I110" s="25" t="s">
        <v>32</v>
      </c>
      <c r="J110" s="42">
        <v>5000</v>
      </c>
      <c r="K110" s="52" t="s">
        <v>443</v>
      </c>
      <c r="L110" s="25">
        <v>47755054</v>
      </c>
      <c r="M110" s="30">
        <v>45519</v>
      </c>
      <c r="N110" s="25" t="s">
        <v>315</v>
      </c>
      <c r="O110" s="56">
        <v>12</v>
      </c>
      <c r="P110" s="25" t="s">
        <v>305</v>
      </c>
      <c r="Q110" s="25" t="s">
        <v>316</v>
      </c>
      <c r="R110" s="25" t="s">
        <v>307</v>
      </c>
      <c r="S110" s="9">
        <v>0.33229999999999998</v>
      </c>
      <c r="T110" s="25" t="s">
        <v>415</v>
      </c>
      <c r="U110" s="25">
        <v>5</v>
      </c>
      <c r="V110" s="25">
        <v>4</v>
      </c>
      <c r="W110" s="25" t="s">
        <v>37</v>
      </c>
      <c r="X110" s="25" t="s">
        <v>37</v>
      </c>
      <c r="Y110" s="25" t="s">
        <v>37</v>
      </c>
      <c r="Z110" s="25">
        <v>9</v>
      </c>
      <c r="AA110" s="25" t="s">
        <v>37</v>
      </c>
      <c r="AB110" s="25" t="s">
        <v>37</v>
      </c>
      <c r="AC110" s="25" t="s">
        <v>321</v>
      </c>
    </row>
    <row r="111" spans="1:29" ht="15.75" customHeight="1" x14ac:dyDescent="0.3">
      <c r="A111" s="6">
        <v>110</v>
      </c>
      <c r="B111" s="6" t="s">
        <v>27</v>
      </c>
      <c r="C111" s="33" t="s">
        <v>269</v>
      </c>
      <c r="D111" s="25" t="s">
        <v>29</v>
      </c>
      <c r="E111" s="25" t="s">
        <v>416</v>
      </c>
      <c r="F111" s="25" t="s">
        <v>28</v>
      </c>
      <c r="G111" s="25" t="s">
        <v>417</v>
      </c>
      <c r="H111" s="25">
        <v>60</v>
      </c>
      <c r="I111" s="25" t="s">
        <v>46</v>
      </c>
      <c r="J111" s="42">
        <v>5000</v>
      </c>
      <c r="K111" s="52" t="s">
        <v>473</v>
      </c>
      <c r="L111" s="25">
        <v>24950756</v>
      </c>
      <c r="M111" s="30">
        <v>45516</v>
      </c>
      <c r="N111" s="25" t="s">
        <v>315</v>
      </c>
      <c r="O111" s="56">
        <v>12</v>
      </c>
      <c r="P111" s="25" t="s">
        <v>305</v>
      </c>
      <c r="Q111" s="25" t="s">
        <v>316</v>
      </c>
      <c r="R111" s="25" t="s">
        <v>307</v>
      </c>
      <c r="S111" s="9">
        <v>0.31140000000000001</v>
      </c>
      <c r="T111" s="25" t="s">
        <v>418</v>
      </c>
      <c r="U111" s="25">
        <v>6</v>
      </c>
      <c r="V111" s="25">
        <v>4</v>
      </c>
      <c r="W111" s="25" t="s">
        <v>37</v>
      </c>
      <c r="X111" s="25" t="s">
        <v>37</v>
      </c>
      <c r="Y111" s="25" t="s">
        <v>37</v>
      </c>
      <c r="Z111" s="25">
        <v>15</v>
      </c>
      <c r="AA111" s="25" t="s">
        <v>37</v>
      </c>
      <c r="AB111" s="25" t="s">
        <v>37</v>
      </c>
      <c r="AC111" s="25" t="s">
        <v>309</v>
      </c>
    </row>
    <row r="112" spans="1:29" ht="15.75" customHeight="1" x14ac:dyDescent="0.3">
      <c r="A112" s="47">
        <v>111</v>
      </c>
      <c r="B112" s="47" t="s">
        <v>27</v>
      </c>
      <c r="C112" s="33" t="s">
        <v>269</v>
      </c>
      <c r="D112" s="57" t="s">
        <v>39</v>
      </c>
      <c r="E112" s="57" t="s">
        <v>419</v>
      </c>
      <c r="F112" s="57" t="s">
        <v>28</v>
      </c>
      <c r="G112" s="57" t="s">
        <v>420</v>
      </c>
      <c r="H112" s="57">
        <v>62</v>
      </c>
      <c r="I112" s="57" t="s">
        <v>32</v>
      </c>
      <c r="J112" s="59">
        <v>30000</v>
      </c>
      <c r="K112" s="52" t="s">
        <v>474</v>
      </c>
      <c r="L112" s="57">
        <v>23971845</v>
      </c>
      <c r="M112" s="63">
        <v>45509</v>
      </c>
      <c r="N112" s="57" t="s">
        <v>315</v>
      </c>
      <c r="O112" s="56">
        <v>12</v>
      </c>
      <c r="P112" s="57" t="s">
        <v>305</v>
      </c>
      <c r="Q112" s="57" t="s">
        <v>316</v>
      </c>
      <c r="R112" s="57" t="s">
        <v>307</v>
      </c>
      <c r="S112" s="65">
        <v>0.26819999999999999</v>
      </c>
      <c r="T112" s="57"/>
      <c r="U112" s="57">
        <v>12</v>
      </c>
      <c r="V112" s="57">
        <v>9</v>
      </c>
      <c r="W112" s="57" t="s">
        <v>37</v>
      </c>
      <c r="X112" s="57" t="s">
        <v>37</v>
      </c>
      <c r="Y112" s="57" t="s">
        <v>37</v>
      </c>
      <c r="Z112" s="57">
        <v>20</v>
      </c>
      <c r="AA112" s="57" t="s">
        <v>37</v>
      </c>
      <c r="AB112" s="57" t="s">
        <v>37</v>
      </c>
      <c r="AC112" s="57" t="s">
        <v>309</v>
      </c>
    </row>
    <row r="113" spans="1:29" ht="15.75" customHeight="1" x14ac:dyDescent="0.3">
      <c r="A113" s="6">
        <v>112</v>
      </c>
      <c r="B113" s="6" t="s">
        <v>27</v>
      </c>
      <c r="C113" s="25" t="s">
        <v>269</v>
      </c>
      <c r="D113" s="25" t="s">
        <v>29</v>
      </c>
      <c r="E113" s="25" t="s">
        <v>421</v>
      </c>
      <c r="F113" s="25" t="s">
        <v>58</v>
      </c>
      <c r="G113" s="25" t="s">
        <v>422</v>
      </c>
      <c r="H113" s="25">
        <v>39</v>
      </c>
      <c r="I113" s="25" t="s">
        <v>46</v>
      </c>
      <c r="J113" s="42">
        <v>20000</v>
      </c>
      <c r="K113" s="52" t="s">
        <v>475</v>
      </c>
      <c r="L113" s="25">
        <v>44677527</v>
      </c>
      <c r="M113" s="30">
        <v>45639</v>
      </c>
      <c r="N113" s="25" t="s">
        <v>315</v>
      </c>
      <c r="O113" s="56">
        <v>12</v>
      </c>
      <c r="P113" s="25" t="s">
        <v>305</v>
      </c>
      <c r="Q113" s="25" t="s">
        <v>316</v>
      </c>
      <c r="R113" s="25" t="s">
        <v>307</v>
      </c>
      <c r="S113" s="9">
        <v>0.36070000000000002</v>
      </c>
      <c r="T113" s="25" t="s">
        <v>423</v>
      </c>
      <c r="U113" s="25">
        <v>9</v>
      </c>
      <c r="V113" s="25">
        <v>9</v>
      </c>
      <c r="W113" s="25" t="s">
        <v>37</v>
      </c>
      <c r="X113" s="25" t="s">
        <v>37</v>
      </c>
      <c r="Y113" s="25" t="s">
        <v>37</v>
      </c>
      <c r="Z113" s="25">
        <v>12</v>
      </c>
      <c r="AA113" s="25" t="s">
        <v>37</v>
      </c>
      <c r="AB113" s="25" t="s">
        <v>37</v>
      </c>
      <c r="AC113" s="25" t="s">
        <v>321</v>
      </c>
    </row>
    <row r="114" spans="1:29" ht="15.75" customHeight="1" x14ac:dyDescent="0.3">
      <c r="A114" s="6">
        <v>113</v>
      </c>
      <c r="B114" s="6" t="s">
        <v>27</v>
      </c>
      <c r="C114" s="25" t="s">
        <v>269</v>
      </c>
      <c r="D114" s="25" t="s">
        <v>29</v>
      </c>
      <c r="E114" s="25" t="s">
        <v>424</v>
      </c>
      <c r="F114" s="25" t="s">
        <v>58</v>
      </c>
      <c r="G114" s="25" t="s">
        <v>425</v>
      </c>
      <c r="H114" s="25">
        <v>55</v>
      </c>
      <c r="I114" s="25" t="s">
        <v>32</v>
      </c>
      <c r="J114" s="42">
        <v>20000</v>
      </c>
      <c r="K114" s="52" t="s">
        <v>476</v>
      </c>
      <c r="L114" s="25">
        <v>80120674</v>
      </c>
      <c r="M114" s="30">
        <v>45622</v>
      </c>
      <c r="N114" s="25" t="s">
        <v>304</v>
      </c>
      <c r="O114" s="56">
        <v>24</v>
      </c>
      <c r="P114" s="25" t="s">
        <v>305</v>
      </c>
      <c r="Q114" s="25" t="s">
        <v>316</v>
      </c>
      <c r="R114" s="25" t="s">
        <v>307</v>
      </c>
      <c r="S114" s="9">
        <v>0.28620000000000001</v>
      </c>
      <c r="T114" s="25" t="s">
        <v>426</v>
      </c>
      <c r="U114" s="25">
        <v>15</v>
      </c>
      <c r="V114" s="25">
        <v>12</v>
      </c>
      <c r="W114" s="25" t="s">
        <v>37</v>
      </c>
      <c r="X114" s="25" t="s">
        <v>37</v>
      </c>
      <c r="Y114" s="25" t="s">
        <v>37</v>
      </c>
      <c r="Z114" s="25">
        <v>15</v>
      </c>
      <c r="AA114" s="25" t="s">
        <v>37</v>
      </c>
      <c r="AB114" s="25" t="s">
        <v>37</v>
      </c>
      <c r="AC114" s="25" t="s">
        <v>309</v>
      </c>
    </row>
    <row r="115" spans="1:29" ht="15.75" customHeight="1" x14ac:dyDescent="0.3">
      <c r="A115" s="6">
        <v>114</v>
      </c>
      <c r="B115" s="6" t="s">
        <v>27</v>
      </c>
      <c r="C115" s="25" t="s">
        <v>269</v>
      </c>
      <c r="D115" s="25" t="s">
        <v>29</v>
      </c>
      <c r="E115" s="25" t="s">
        <v>427</v>
      </c>
      <c r="F115" s="25" t="s">
        <v>58</v>
      </c>
      <c r="G115" s="25" t="s">
        <v>428</v>
      </c>
      <c r="H115" s="25">
        <v>32</v>
      </c>
      <c r="I115" s="25" t="s">
        <v>32</v>
      </c>
      <c r="J115" s="42">
        <v>3000</v>
      </c>
      <c r="K115" s="52" t="s">
        <v>477</v>
      </c>
      <c r="L115" s="25">
        <v>47699662</v>
      </c>
      <c r="M115" s="30">
        <v>45577</v>
      </c>
      <c r="N115" s="25" t="s">
        <v>315</v>
      </c>
      <c r="O115" s="56">
        <v>12</v>
      </c>
      <c r="P115" s="25" t="s">
        <v>305</v>
      </c>
      <c r="Q115" s="25" t="s">
        <v>316</v>
      </c>
      <c r="R115" s="25" t="s">
        <v>307</v>
      </c>
      <c r="S115" s="9">
        <v>0.45929999999999999</v>
      </c>
      <c r="T115" s="25" t="s">
        <v>429</v>
      </c>
      <c r="U115" s="25">
        <v>5</v>
      </c>
      <c r="V115" s="25">
        <v>4</v>
      </c>
      <c r="W115" s="25" t="s">
        <v>37</v>
      </c>
      <c r="X115" s="25" t="s">
        <v>37</v>
      </c>
      <c r="Y115" s="25" t="s">
        <v>37</v>
      </c>
      <c r="Z115" s="25">
        <v>9</v>
      </c>
      <c r="AA115" s="25" t="s">
        <v>37</v>
      </c>
      <c r="AB115" s="25" t="s">
        <v>37</v>
      </c>
      <c r="AC115" s="25" t="s">
        <v>309</v>
      </c>
    </row>
    <row r="116" spans="1:29" ht="15.75" customHeight="1" x14ac:dyDescent="0.3">
      <c r="A116" s="6">
        <v>115</v>
      </c>
      <c r="B116" s="6" t="s">
        <v>27</v>
      </c>
      <c r="C116" s="25" t="s">
        <v>269</v>
      </c>
      <c r="D116" s="25" t="s">
        <v>29</v>
      </c>
      <c r="E116" s="25" t="s">
        <v>424</v>
      </c>
      <c r="F116" s="25" t="s">
        <v>58</v>
      </c>
      <c r="G116" s="25" t="s">
        <v>430</v>
      </c>
      <c r="H116" s="25">
        <v>37</v>
      </c>
      <c r="I116" s="25" t="s">
        <v>32</v>
      </c>
      <c r="J116" s="42">
        <v>5000</v>
      </c>
      <c r="K116" s="52" t="s">
        <v>478</v>
      </c>
      <c r="L116" s="25">
        <v>44310124</v>
      </c>
      <c r="M116" s="30">
        <v>45630</v>
      </c>
      <c r="N116" s="25" t="s">
        <v>315</v>
      </c>
      <c r="O116" s="56">
        <v>12</v>
      </c>
      <c r="P116" s="25" t="s">
        <v>305</v>
      </c>
      <c r="Q116" s="25" t="s">
        <v>316</v>
      </c>
      <c r="R116" s="25" t="s">
        <v>307</v>
      </c>
      <c r="S116" s="9">
        <v>0.39279999999999998</v>
      </c>
      <c r="T116" s="25" t="s">
        <v>431</v>
      </c>
      <c r="U116" s="25">
        <v>6</v>
      </c>
      <c r="V116" s="25">
        <v>5</v>
      </c>
      <c r="W116" s="25" t="s">
        <v>37</v>
      </c>
      <c r="X116" s="25" t="s">
        <v>37</v>
      </c>
      <c r="Y116" s="25" t="s">
        <v>37</v>
      </c>
      <c r="Z116" s="25">
        <v>10</v>
      </c>
      <c r="AA116" s="25" t="s">
        <v>37</v>
      </c>
      <c r="AB116" s="25" t="s">
        <v>37</v>
      </c>
      <c r="AC116" s="25" t="s">
        <v>309</v>
      </c>
    </row>
    <row r="117" spans="1:29" ht="15.75" customHeight="1" x14ac:dyDescent="0.3">
      <c r="A117" s="46"/>
      <c r="B117" s="46"/>
      <c r="C117" s="46"/>
      <c r="D117" s="46"/>
      <c r="E117" s="46"/>
      <c r="F117" s="46"/>
      <c r="G117" s="46"/>
      <c r="H117" s="46"/>
      <c r="I117" s="46"/>
      <c r="J117" s="48"/>
      <c r="K117" s="45"/>
      <c r="L117" s="46"/>
      <c r="M117" s="49"/>
      <c r="N117" s="46"/>
      <c r="O117" s="46"/>
      <c r="P117" s="46"/>
      <c r="Q117" s="46"/>
      <c r="R117" s="46"/>
      <c r="S117" s="50"/>
      <c r="T117" s="46"/>
      <c r="U117" s="46"/>
      <c r="V117" s="46"/>
      <c r="W117" s="46"/>
      <c r="X117" s="46"/>
      <c r="Y117" s="46"/>
      <c r="Z117" s="51"/>
      <c r="AA117" s="46"/>
      <c r="AB117" s="46"/>
      <c r="AC117" s="46"/>
    </row>
  </sheetData>
  <autoFilter ref="A1:AC116" xr:uid="{00000000-0009-0000-0000-000003000000}">
    <sortState xmlns:xlrd2="http://schemas.microsoft.com/office/spreadsheetml/2017/richdata2" ref="A2:AC116">
      <sortCondition ref="A1:A116"/>
    </sortState>
  </autoFilter>
  <conditionalFormatting sqref="T2:T6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3:C31"/>
  <sheetViews>
    <sheetView workbookViewId="0">
      <selection activeCell="C46" sqref="C46"/>
    </sheetView>
  </sheetViews>
  <sheetFormatPr baseColWidth="10" defaultRowHeight="14.4" x14ac:dyDescent="0.3"/>
  <cols>
    <col min="1" max="1" width="17.5546875" customWidth="1"/>
    <col min="2" max="2" width="18.88671875" customWidth="1"/>
    <col min="3" max="3" width="35.44140625" customWidth="1"/>
  </cols>
  <sheetData>
    <row r="3" spans="1:3" x14ac:dyDescent="0.3">
      <c r="A3" s="2" t="s">
        <v>236</v>
      </c>
      <c r="B3" t="s">
        <v>243</v>
      </c>
      <c r="C3" t="s">
        <v>238</v>
      </c>
    </row>
    <row r="4" spans="1:3" x14ac:dyDescent="0.3">
      <c r="A4" s="1" t="s">
        <v>246</v>
      </c>
      <c r="B4" s="3">
        <v>2</v>
      </c>
      <c r="C4" s="3">
        <v>52000</v>
      </c>
    </row>
    <row r="5" spans="1:3" x14ac:dyDescent="0.3">
      <c r="A5" s="1" t="s">
        <v>269</v>
      </c>
      <c r="B5" s="3">
        <v>113</v>
      </c>
      <c r="C5" s="3">
        <v>1319000</v>
      </c>
    </row>
    <row r="6" spans="1:3" x14ac:dyDescent="0.3">
      <c r="A6" s="1" t="s">
        <v>242</v>
      </c>
      <c r="B6" s="3"/>
      <c r="C6" s="3"/>
    </row>
    <row r="7" spans="1:3" x14ac:dyDescent="0.3">
      <c r="A7" s="1" t="s">
        <v>237</v>
      </c>
      <c r="B7" s="3">
        <v>115</v>
      </c>
      <c r="C7" s="3">
        <v>1371000</v>
      </c>
    </row>
    <row r="17" spans="1:3" x14ac:dyDescent="0.3">
      <c r="A17" t="s">
        <v>255</v>
      </c>
      <c r="B17" t="s">
        <v>438</v>
      </c>
      <c r="C17" t="s">
        <v>251</v>
      </c>
    </row>
    <row r="18" spans="1:3" x14ac:dyDescent="0.3">
      <c r="A18" t="s">
        <v>58</v>
      </c>
      <c r="B18">
        <v>11</v>
      </c>
      <c r="C18" s="44">
        <v>112000</v>
      </c>
    </row>
    <row r="19" spans="1:3" x14ac:dyDescent="0.3">
      <c r="A19" t="s">
        <v>170</v>
      </c>
      <c r="B19">
        <v>9</v>
      </c>
      <c r="C19" s="44">
        <v>114500</v>
      </c>
    </row>
    <row r="20" spans="1:3" x14ac:dyDescent="0.3">
      <c r="A20" t="s">
        <v>94</v>
      </c>
      <c r="B20">
        <v>3</v>
      </c>
      <c r="C20" s="44">
        <v>62000</v>
      </c>
    </row>
    <row r="21" spans="1:3" x14ac:dyDescent="0.3">
      <c r="A21" t="s">
        <v>28</v>
      </c>
      <c r="B21">
        <v>92</v>
      </c>
      <c r="C21" s="44">
        <v>1082500</v>
      </c>
    </row>
    <row r="22" spans="1:3" x14ac:dyDescent="0.3">
      <c r="A22" t="s">
        <v>237</v>
      </c>
      <c r="B22">
        <v>115</v>
      </c>
      <c r="C22" s="44">
        <v>1371000</v>
      </c>
    </row>
    <row r="27" spans="1:3" x14ac:dyDescent="0.3">
      <c r="A27" t="s">
        <v>236</v>
      </c>
      <c r="B27" t="s">
        <v>243</v>
      </c>
      <c r="C27" t="s">
        <v>238</v>
      </c>
    </row>
    <row r="28" spans="1:3" x14ac:dyDescent="0.3">
      <c r="A28" t="s">
        <v>246</v>
      </c>
      <c r="B28">
        <v>2</v>
      </c>
      <c r="C28" s="44">
        <v>52000</v>
      </c>
    </row>
    <row r="29" spans="1:3" x14ac:dyDescent="0.3">
      <c r="A29" t="s">
        <v>269</v>
      </c>
      <c r="B29">
        <v>113</v>
      </c>
      <c r="C29" s="44">
        <v>1319000</v>
      </c>
    </row>
    <row r="30" spans="1:3" x14ac:dyDescent="0.3">
      <c r="A30" t="s">
        <v>237</v>
      </c>
      <c r="B30">
        <v>115</v>
      </c>
      <c r="C30" s="44">
        <v>1371000</v>
      </c>
    </row>
    <row r="31" spans="1:3" x14ac:dyDescent="0.3">
      <c r="C31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A116"/>
  <sheetViews>
    <sheetView topLeftCell="U1" zoomScaleNormal="100" workbookViewId="0">
      <selection activeCell="V36" sqref="V36"/>
    </sheetView>
  </sheetViews>
  <sheetFormatPr baseColWidth="10" defaultColWidth="11.44140625" defaultRowHeight="14.4" x14ac:dyDescent="0.3"/>
  <cols>
    <col min="1" max="1" width="9" style="1" bestFit="1" customWidth="1"/>
    <col min="2" max="2" width="10.6640625" style="1" bestFit="1" customWidth="1"/>
    <col min="3" max="3" width="13.88671875" style="1" bestFit="1" customWidth="1"/>
    <col min="4" max="4" width="12.33203125" style="1" bestFit="1" customWidth="1"/>
    <col min="5" max="5" width="44.88671875" style="1" bestFit="1" customWidth="1"/>
    <col min="6" max="6" width="32" style="1" bestFit="1" customWidth="1"/>
    <col min="7" max="7" width="38.33203125" style="1" bestFit="1" customWidth="1"/>
    <col min="8" max="8" width="5.88671875" style="1" bestFit="1" customWidth="1"/>
    <col min="9" max="9" width="33.5546875" style="1" bestFit="1" customWidth="1"/>
    <col min="10" max="10" width="27.109375" style="1" bestFit="1" customWidth="1"/>
    <col min="11" max="11" width="11.5546875" style="1" bestFit="1" customWidth="1"/>
    <col min="12" max="12" width="23.109375" style="1" bestFit="1" customWidth="1"/>
    <col min="13" max="13" width="23.88671875" style="1" bestFit="1" customWidth="1"/>
    <col min="14" max="14" width="57.88671875" style="1" bestFit="1" customWidth="1"/>
    <col min="15" max="15" width="36.33203125" style="1" bestFit="1" customWidth="1"/>
    <col min="16" max="16" width="19.88671875" style="1" bestFit="1" customWidth="1"/>
    <col min="17" max="17" width="8.109375" style="1" bestFit="1" customWidth="1"/>
    <col min="18" max="18" width="33.5546875" style="1" bestFit="1" customWidth="1"/>
    <col min="19" max="19" width="20.109375" style="1" bestFit="1" customWidth="1"/>
    <col min="20" max="20" width="25" style="1" bestFit="1" customWidth="1"/>
    <col min="21" max="21" width="32.33203125" style="1" bestFit="1" customWidth="1"/>
    <col min="22" max="22" width="34.44140625" style="1" bestFit="1" customWidth="1"/>
    <col min="23" max="23" width="21.33203125" style="1" bestFit="1" customWidth="1"/>
    <col min="24" max="24" width="17.109375" style="1" bestFit="1" customWidth="1"/>
    <col min="25" max="25" width="31.88671875" style="1" bestFit="1" customWidth="1"/>
    <col min="26" max="26" width="33.88671875" style="1" bestFit="1" customWidth="1"/>
    <col min="27" max="27" width="19.33203125" style="1" bestFit="1" customWidth="1"/>
    <col min="28" max="16384" width="11.44140625" style="1"/>
  </cols>
  <sheetData>
    <row r="1" spans="1:27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206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16</v>
      </c>
      <c r="S1" s="43" t="s">
        <v>17</v>
      </c>
      <c r="T1" s="43" t="s">
        <v>18</v>
      </c>
      <c r="U1" s="43" t="s">
        <v>19</v>
      </c>
      <c r="V1" s="43" t="s">
        <v>20</v>
      </c>
      <c r="W1" s="43" t="s">
        <v>21</v>
      </c>
      <c r="X1" s="43" t="s">
        <v>22</v>
      </c>
      <c r="Y1" s="43" t="s">
        <v>23</v>
      </c>
      <c r="Z1" s="43" t="s">
        <v>24</v>
      </c>
      <c r="AA1" s="43" t="s">
        <v>25</v>
      </c>
    </row>
    <row r="2" spans="1:27" x14ac:dyDescent="0.3">
      <c r="A2" s="1">
        <v>1</v>
      </c>
      <c r="B2" s="1" t="s">
        <v>27</v>
      </c>
      <c r="C2" s="1" t="s">
        <v>269</v>
      </c>
      <c r="D2" s="1" t="s">
        <v>39</v>
      </c>
      <c r="E2" s="1" t="s">
        <v>169</v>
      </c>
      <c r="F2" s="1" t="s">
        <v>170</v>
      </c>
      <c r="G2" s="1" t="s">
        <v>171</v>
      </c>
      <c r="H2" s="1">
        <v>48</v>
      </c>
      <c r="I2" s="1" t="s">
        <v>32</v>
      </c>
      <c r="J2" s="1">
        <v>50000</v>
      </c>
      <c r="K2" s="1">
        <v>80401382</v>
      </c>
      <c r="L2" s="1">
        <v>45288</v>
      </c>
      <c r="M2" s="1">
        <v>46749</v>
      </c>
      <c r="N2" s="1" t="s">
        <v>33</v>
      </c>
      <c r="O2" s="1" t="s">
        <v>34</v>
      </c>
      <c r="P2" s="1" t="s">
        <v>35</v>
      </c>
      <c r="Q2" s="1">
        <v>0.26819999999999999</v>
      </c>
      <c r="R2" s="1" t="s">
        <v>172</v>
      </c>
      <c r="S2" s="1">
        <v>24.94</v>
      </c>
      <c r="T2" s="1">
        <v>4</v>
      </c>
      <c r="U2" s="1" t="s">
        <v>37</v>
      </c>
      <c r="V2" s="1" t="s">
        <v>37</v>
      </c>
      <c r="W2" s="1" t="s">
        <v>37</v>
      </c>
      <c r="X2" s="1">
        <v>10</v>
      </c>
      <c r="Y2" s="1" t="s">
        <v>37</v>
      </c>
      <c r="Z2" s="1" t="s">
        <v>37</v>
      </c>
      <c r="AA2" s="1" t="s">
        <v>38</v>
      </c>
    </row>
    <row r="3" spans="1:27" x14ac:dyDescent="0.3">
      <c r="A3" s="1">
        <v>2</v>
      </c>
      <c r="B3" s="1" t="s">
        <v>27</v>
      </c>
      <c r="C3" s="1" t="s">
        <v>269</v>
      </c>
      <c r="D3" s="1" t="s">
        <v>29</v>
      </c>
      <c r="E3" s="1" t="s">
        <v>173</v>
      </c>
      <c r="F3" s="1" t="s">
        <v>170</v>
      </c>
      <c r="G3" s="1" t="s">
        <v>174</v>
      </c>
      <c r="H3" s="1">
        <v>47</v>
      </c>
      <c r="I3" s="1" t="s">
        <v>32</v>
      </c>
      <c r="J3" s="1">
        <v>3000</v>
      </c>
      <c r="K3" s="1">
        <v>25012150</v>
      </c>
      <c r="L3" s="1">
        <v>45288</v>
      </c>
      <c r="M3" s="1">
        <v>45836</v>
      </c>
      <c r="N3" s="1" t="s">
        <v>33</v>
      </c>
      <c r="O3" s="1" t="s">
        <v>175</v>
      </c>
      <c r="P3" s="1" t="s">
        <v>35</v>
      </c>
      <c r="Q3" s="1">
        <v>0.49009999999999998</v>
      </c>
      <c r="R3" s="1" t="s">
        <v>176</v>
      </c>
      <c r="S3" s="1">
        <v>3</v>
      </c>
      <c r="T3" s="1">
        <v>1</v>
      </c>
      <c r="U3" s="1" t="s">
        <v>37</v>
      </c>
      <c r="V3" s="1" t="s">
        <v>37</v>
      </c>
      <c r="W3" s="1" t="s">
        <v>37</v>
      </c>
      <c r="X3" s="1">
        <v>5</v>
      </c>
      <c r="Y3" s="1" t="s">
        <v>37</v>
      </c>
      <c r="Z3" s="1" t="s">
        <v>37</v>
      </c>
      <c r="AA3" s="1" t="s">
        <v>38</v>
      </c>
    </row>
    <row r="4" spans="1:27" x14ac:dyDescent="0.3">
      <c r="A4" s="1">
        <v>3</v>
      </c>
      <c r="B4" s="1" t="s">
        <v>27</v>
      </c>
      <c r="C4" s="1" t="s">
        <v>269</v>
      </c>
      <c r="D4" s="1" t="s">
        <v>29</v>
      </c>
      <c r="E4" s="1" t="s">
        <v>177</v>
      </c>
      <c r="F4" s="1" t="s">
        <v>170</v>
      </c>
      <c r="G4" s="1" t="s">
        <v>178</v>
      </c>
      <c r="H4" s="1">
        <v>43</v>
      </c>
      <c r="I4" s="1" t="s">
        <v>32</v>
      </c>
      <c r="J4" s="1">
        <v>20000</v>
      </c>
      <c r="K4" s="1">
        <v>40973753</v>
      </c>
      <c r="L4" s="1">
        <v>45288</v>
      </c>
      <c r="M4" s="1">
        <v>46023</v>
      </c>
      <c r="N4" s="1" t="s">
        <v>33</v>
      </c>
      <c r="O4" s="1" t="s">
        <v>179</v>
      </c>
      <c r="P4" s="1" t="s">
        <v>35</v>
      </c>
      <c r="Q4" s="1">
        <v>0.28320000000000001</v>
      </c>
      <c r="R4" s="1" t="s">
        <v>180</v>
      </c>
      <c r="S4" s="1">
        <v>15</v>
      </c>
      <c r="T4" s="1">
        <v>2</v>
      </c>
      <c r="U4" s="1" t="s">
        <v>37</v>
      </c>
      <c r="V4" s="1" t="s">
        <v>37</v>
      </c>
      <c r="W4" s="1" t="s">
        <v>37</v>
      </c>
      <c r="X4" s="1">
        <v>6</v>
      </c>
      <c r="Y4" s="1" t="s">
        <v>37</v>
      </c>
      <c r="Z4" s="1" t="s">
        <v>37</v>
      </c>
      <c r="AA4" s="1" t="s">
        <v>38</v>
      </c>
    </row>
    <row r="5" spans="1:27" x14ac:dyDescent="0.3">
      <c r="A5" s="1">
        <v>4</v>
      </c>
      <c r="B5" s="1" t="s">
        <v>27</v>
      </c>
      <c r="C5" s="1" t="s">
        <v>269</v>
      </c>
      <c r="D5" s="1" t="s">
        <v>29</v>
      </c>
      <c r="E5" s="1" t="s">
        <v>181</v>
      </c>
      <c r="F5" s="1" t="s">
        <v>170</v>
      </c>
      <c r="G5" s="1" t="s">
        <v>182</v>
      </c>
      <c r="H5" s="1">
        <v>45</v>
      </c>
      <c r="I5" s="1" t="s">
        <v>46</v>
      </c>
      <c r="J5" s="1">
        <v>1000</v>
      </c>
      <c r="K5" s="1">
        <v>42904898</v>
      </c>
      <c r="L5" s="1">
        <v>45288</v>
      </c>
      <c r="M5" s="1">
        <v>45658</v>
      </c>
      <c r="N5" s="1" t="s">
        <v>33</v>
      </c>
      <c r="O5" s="1" t="s">
        <v>164</v>
      </c>
      <c r="P5" s="1" t="s">
        <v>35</v>
      </c>
      <c r="Q5" s="1">
        <v>0.37669999999999998</v>
      </c>
      <c r="R5" s="1" t="s">
        <v>183</v>
      </c>
      <c r="S5" s="1">
        <v>5</v>
      </c>
      <c r="T5" s="1">
        <v>1</v>
      </c>
      <c r="U5" s="1" t="s">
        <v>37</v>
      </c>
      <c r="V5" s="1" t="s">
        <v>37</v>
      </c>
      <c r="W5" s="1" t="s">
        <v>37</v>
      </c>
      <c r="X5" s="1">
        <v>6</v>
      </c>
      <c r="Y5" s="1" t="s">
        <v>37</v>
      </c>
      <c r="Z5" s="1" t="s">
        <v>37</v>
      </c>
      <c r="AA5" s="1" t="s">
        <v>38</v>
      </c>
    </row>
    <row r="6" spans="1:27" x14ac:dyDescent="0.3">
      <c r="A6" s="1">
        <v>5</v>
      </c>
      <c r="B6" s="1" t="s">
        <v>27</v>
      </c>
      <c r="C6" s="1" t="s">
        <v>269</v>
      </c>
      <c r="D6" s="1" t="s">
        <v>29</v>
      </c>
      <c r="E6" s="1" t="s">
        <v>184</v>
      </c>
      <c r="F6" s="1" t="s">
        <v>170</v>
      </c>
      <c r="G6" s="1" t="s">
        <v>185</v>
      </c>
      <c r="H6" s="1">
        <v>43</v>
      </c>
      <c r="I6" s="1" t="s">
        <v>32</v>
      </c>
      <c r="J6" s="1">
        <v>30000</v>
      </c>
      <c r="K6" s="1">
        <v>42476104</v>
      </c>
      <c r="L6" s="1">
        <v>44931</v>
      </c>
      <c r="M6" s="1">
        <v>46754</v>
      </c>
      <c r="N6" s="1" t="s">
        <v>33</v>
      </c>
      <c r="O6" s="1" t="s">
        <v>34</v>
      </c>
      <c r="P6" s="1" t="s">
        <v>35</v>
      </c>
      <c r="Q6" s="1">
        <v>0.25190000000000001</v>
      </c>
      <c r="R6" s="1" t="s">
        <v>186</v>
      </c>
      <c r="S6" s="1">
        <v>5</v>
      </c>
      <c r="T6" s="1">
        <v>1</v>
      </c>
      <c r="U6" s="1" t="s">
        <v>37</v>
      </c>
      <c r="V6" s="1" t="s">
        <v>37</v>
      </c>
      <c r="W6" s="1" t="s">
        <v>37</v>
      </c>
      <c r="X6" s="1">
        <v>10</v>
      </c>
      <c r="Y6" s="1" t="s">
        <v>37</v>
      </c>
      <c r="Z6" s="1" t="s">
        <v>37</v>
      </c>
      <c r="AA6" s="1" t="s">
        <v>38</v>
      </c>
    </row>
    <row r="7" spans="1:27" x14ac:dyDescent="0.3">
      <c r="A7" s="1">
        <v>6</v>
      </c>
      <c r="B7" s="1" t="s">
        <v>27</v>
      </c>
      <c r="C7" s="1" t="s">
        <v>269</v>
      </c>
      <c r="D7" s="1" t="s">
        <v>142</v>
      </c>
      <c r="E7" s="1" t="s">
        <v>187</v>
      </c>
      <c r="F7" s="1" t="s">
        <v>170</v>
      </c>
      <c r="G7" s="1" t="s">
        <v>188</v>
      </c>
      <c r="H7" s="1">
        <v>45</v>
      </c>
      <c r="I7" s="1" t="s">
        <v>46</v>
      </c>
      <c r="J7" s="1">
        <v>5000</v>
      </c>
      <c r="K7" s="1">
        <v>40343713</v>
      </c>
      <c r="L7" s="1">
        <v>45300</v>
      </c>
      <c r="M7" s="1">
        <v>45660</v>
      </c>
      <c r="N7" s="1" t="s">
        <v>33</v>
      </c>
      <c r="O7" s="1" t="s">
        <v>151</v>
      </c>
      <c r="P7" s="1" t="s">
        <v>35</v>
      </c>
      <c r="Q7" s="1">
        <v>0.33069999999999999</v>
      </c>
      <c r="R7" s="1" t="s">
        <v>189</v>
      </c>
      <c r="S7" s="1">
        <v>4</v>
      </c>
      <c r="T7" s="1">
        <v>2</v>
      </c>
      <c r="U7" s="1" t="s">
        <v>37</v>
      </c>
      <c r="V7" s="1" t="s">
        <v>37</v>
      </c>
      <c r="W7" s="1" t="s">
        <v>37</v>
      </c>
      <c r="X7" s="1">
        <v>10</v>
      </c>
      <c r="Y7" s="1" t="s">
        <v>37</v>
      </c>
      <c r="Z7" s="1" t="s">
        <v>37</v>
      </c>
      <c r="AA7" s="1" t="s">
        <v>38</v>
      </c>
    </row>
    <row r="8" spans="1:27" x14ac:dyDescent="0.3">
      <c r="A8" s="1">
        <v>7</v>
      </c>
      <c r="B8" s="1" t="s">
        <v>27</v>
      </c>
      <c r="C8" s="1" t="s">
        <v>269</v>
      </c>
      <c r="D8" s="1" t="s">
        <v>190</v>
      </c>
      <c r="E8" s="1" t="s">
        <v>191</v>
      </c>
      <c r="F8" s="1" t="s">
        <v>170</v>
      </c>
      <c r="G8" s="1" t="s">
        <v>192</v>
      </c>
      <c r="H8" s="1">
        <v>57</v>
      </c>
      <c r="I8" s="1" t="s">
        <v>46</v>
      </c>
      <c r="J8" s="1">
        <v>2500</v>
      </c>
      <c r="K8" s="1">
        <v>24969889</v>
      </c>
      <c r="L8" s="1">
        <v>45301</v>
      </c>
      <c r="M8" s="1">
        <v>45660</v>
      </c>
      <c r="N8" s="1" t="s">
        <v>33</v>
      </c>
      <c r="O8" s="1" t="s">
        <v>164</v>
      </c>
      <c r="P8" s="1" t="s">
        <v>35</v>
      </c>
      <c r="Q8" s="1">
        <v>0.37019999999999997</v>
      </c>
      <c r="R8" s="1" t="s">
        <v>193</v>
      </c>
      <c r="S8" s="1">
        <v>2</v>
      </c>
      <c r="T8" s="1">
        <v>1</v>
      </c>
      <c r="U8" s="1" t="s">
        <v>37</v>
      </c>
      <c r="V8" s="1" t="s">
        <v>37</v>
      </c>
      <c r="W8" s="1" t="s">
        <v>37</v>
      </c>
      <c r="X8" s="1">
        <v>10</v>
      </c>
      <c r="Y8" s="1" t="s">
        <v>37</v>
      </c>
      <c r="Z8" s="1" t="s">
        <v>37</v>
      </c>
      <c r="AA8" s="1" t="s">
        <v>38</v>
      </c>
    </row>
    <row r="9" spans="1:27" x14ac:dyDescent="0.3">
      <c r="A9" s="1">
        <v>8</v>
      </c>
      <c r="B9" s="1" t="s">
        <v>27</v>
      </c>
      <c r="C9" s="1" t="s">
        <v>269</v>
      </c>
      <c r="D9" s="1" t="s">
        <v>190</v>
      </c>
      <c r="E9" s="1" t="s">
        <v>194</v>
      </c>
      <c r="F9" s="1" t="s">
        <v>170</v>
      </c>
      <c r="G9" s="1" t="s">
        <v>195</v>
      </c>
      <c r="H9" s="1">
        <v>48</v>
      </c>
      <c r="I9" s="1" t="s">
        <v>46</v>
      </c>
      <c r="J9" s="1">
        <v>2000</v>
      </c>
      <c r="K9" s="1">
        <v>25328719</v>
      </c>
      <c r="L9" s="1">
        <v>45313</v>
      </c>
      <c r="M9" s="1">
        <v>45673</v>
      </c>
      <c r="N9" s="1" t="s">
        <v>33</v>
      </c>
      <c r="O9" s="1" t="s">
        <v>164</v>
      </c>
      <c r="P9" s="1" t="s">
        <v>35</v>
      </c>
      <c r="Q9" s="1">
        <v>0.37690000000000001</v>
      </c>
      <c r="R9" s="1" t="s">
        <v>196</v>
      </c>
      <c r="S9" s="1">
        <v>2</v>
      </c>
      <c r="T9" s="1">
        <v>1</v>
      </c>
      <c r="U9" s="1" t="s">
        <v>37</v>
      </c>
      <c r="V9" s="1" t="s">
        <v>37</v>
      </c>
      <c r="W9" s="1" t="s">
        <v>37</v>
      </c>
      <c r="X9" s="1">
        <v>5</v>
      </c>
      <c r="Y9" s="1" t="s">
        <v>37</v>
      </c>
      <c r="Z9" s="1" t="s">
        <v>37</v>
      </c>
      <c r="AA9" s="1" t="s">
        <v>38</v>
      </c>
    </row>
    <row r="10" spans="1:27" x14ac:dyDescent="0.3">
      <c r="A10" s="1">
        <v>9</v>
      </c>
      <c r="B10" s="1" t="s">
        <v>27</v>
      </c>
      <c r="C10" s="1" t="s">
        <v>269</v>
      </c>
      <c r="D10" s="1" t="s">
        <v>190</v>
      </c>
      <c r="E10" s="1" t="s">
        <v>197</v>
      </c>
      <c r="F10" s="1" t="s">
        <v>170</v>
      </c>
      <c r="G10" s="1" t="s">
        <v>198</v>
      </c>
      <c r="H10" s="1">
        <v>25</v>
      </c>
      <c r="I10" s="1" t="s">
        <v>46</v>
      </c>
      <c r="J10" s="1">
        <v>1000</v>
      </c>
      <c r="K10" s="1">
        <v>76847088</v>
      </c>
      <c r="L10" s="1">
        <v>45313</v>
      </c>
      <c r="M10" s="1">
        <v>45679</v>
      </c>
      <c r="N10" s="1" t="s">
        <v>33</v>
      </c>
      <c r="O10" s="1" t="s">
        <v>164</v>
      </c>
      <c r="P10" s="1" t="s">
        <v>35</v>
      </c>
      <c r="Q10" s="1">
        <v>0.37669999999999998</v>
      </c>
      <c r="R10" s="1" t="s">
        <v>199</v>
      </c>
      <c r="S10" s="1">
        <v>1</v>
      </c>
      <c r="T10" s="1">
        <v>1</v>
      </c>
      <c r="U10" s="1" t="s">
        <v>37</v>
      </c>
      <c r="V10" s="1" t="s">
        <v>37</v>
      </c>
      <c r="W10" s="1" t="s">
        <v>37</v>
      </c>
      <c r="X10" s="1">
        <v>3</v>
      </c>
      <c r="Y10" s="1" t="s">
        <v>37</v>
      </c>
      <c r="Z10" s="1" t="s">
        <v>37</v>
      </c>
      <c r="AA10" s="1" t="s">
        <v>38</v>
      </c>
    </row>
    <row r="11" spans="1:27" x14ac:dyDescent="0.3">
      <c r="A11" s="1">
        <v>10</v>
      </c>
      <c r="B11" s="1" t="s">
        <v>27</v>
      </c>
      <c r="C11" s="1" t="s">
        <v>269</v>
      </c>
      <c r="D11" s="1" t="s">
        <v>43</v>
      </c>
      <c r="E11" s="1" t="s">
        <v>200</v>
      </c>
      <c r="F11" s="1" t="s">
        <v>28</v>
      </c>
      <c r="G11" s="1" t="s">
        <v>201</v>
      </c>
      <c r="H11" s="1">
        <v>43</v>
      </c>
      <c r="I11" s="1" t="s">
        <v>46</v>
      </c>
      <c r="J11" s="1">
        <v>8000</v>
      </c>
      <c r="K11" s="1">
        <v>24941971</v>
      </c>
      <c r="L11" s="1">
        <v>45329</v>
      </c>
      <c r="M11" s="1">
        <v>45512</v>
      </c>
      <c r="N11" s="1" t="s">
        <v>33</v>
      </c>
      <c r="O11" s="1" t="s">
        <v>34</v>
      </c>
      <c r="P11" s="1" t="s">
        <v>35</v>
      </c>
      <c r="Q11" s="1">
        <v>0.36859999999999998</v>
      </c>
      <c r="R11" s="1" t="s">
        <v>202</v>
      </c>
      <c r="S11" s="1">
        <v>3</v>
      </c>
      <c r="T11" s="1">
        <v>3</v>
      </c>
      <c r="U11" s="1" t="s">
        <v>37</v>
      </c>
      <c r="V11" s="1" t="s">
        <v>37</v>
      </c>
      <c r="W11" s="1" t="s">
        <v>37</v>
      </c>
      <c r="X11" s="1">
        <v>5</v>
      </c>
      <c r="Y11" s="1" t="s">
        <v>37</v>
      </c>
      <c r="Z11" s="1" t="s">
        <v>37</v>
      </c>
      <c r="AA11" s="1" t="s">
        <v>38</v>
      </c>
    </row>
    <row r="12" spans="1:27" x14ac:dyDescent="0.3">
      <c r="A12" s="1">
        <v>11</v>
      </c>
      <c r="B12" s="1" t="s">
        <v>27</v>
      </c>
      <c r="C12" s="1" t="s">
        <v>246</v>
      </c>
      <c r="D12" s="1" t="s">
        <v>433</v>
      </c>
      <c r="E12" s="1" t="s">
        <v>98</v>
      </c>
      <c r="F12" s="1" t="s">
        <v>94</v>
      </c>
      <c r="G12" s="1" t="s">
        <v>95</v>
      </c>
      <c r="H12" s="1">
        <v>32</v>
      </c>
      <c r="I12" s="1" t="s">
        <v>46</v>
      </c>
      <c r="J12" s="1">
        <v>2000</v>
      </c>
      <c r="K12" s="1">
        <v>47002066</v>
      </c>
      <c r="L12" s="1">
        <v>45375</v>
      </c>
      <c r="M12" s="1">
        <v>45741</v>
      </c>
      <c r="N12" s="1" t="s">
        <v>33</v>
      </c>
      <c r="O12" s="1" t="s">
        <v>34</v>
      </c>
      <c r="P12" s="1" t="s">
        <v>35</v>
      </c>
      <c r="Q12" s="1">
        <v>0.3448</v>
      </c>
      <c r="R12" s="1" t="s">
        <v>96</v>
      </c>
      <c r="S12" s="1">
        <v>3</v>
      </c>
      <c r="T12" s="1">
        <v>3</v>
      </c>
      <c r="U12" s="1" t="s">
        <v>37</v>
      </c>
      <c r="V12" s="1" t="s">
        <v>37</v>
      </c>
      <c r="W12" s="1" t="s">
        <v>37</v>
      </c>
      <c r="X12" s="1">
        <v>5</v>
      </c>
      <c r="Y12" s="1" t="s">
        <v>37</v>
      </c>
      <c r="Z12" s="1" t="s">
        <v>37</v>
      </c>
      <c r="AA12" s="1" t="s">
        <v>80</v>
      </c>
    </row>
    <row r="13" spans="1:27" x14ac:dyDescent="0.3">
      <c r="A13" s="1">
        <v>12</v>
      </c>
      <c r="B13" s="1" t="s">
        <v>27</v>
      </c>
      <c r="C13" s="1" t="s">
        <v>269</v>
      </c>
      <c r="D13" s="1" t="s">
        <v>43</v>
      </c>
      <c r="E13" s="1" t="s">
        <v>203</v>
      </c>
      <c r="F13" s="1" t="s">
        <v>28</v>
      </c>
      <c r="G13" s="1" t="s">
        <v>204</v>
      </c>
      <c r="H13" s="1">
        <v>52</v>
      </c>
      <c r="I13" s="1" t="s">
        <v>46</v>
      </c>
      <c r="J13" s="1">
        <v>15000</v>
      </c>
      <c r="K13" s="1">
        <v>23969077</v>
      </c>
      <c r="L13" s="1">
        <v>45329</v>
      </c>
      <c r="M13" s="1">
        <v>45879</v>
      </c>
      <c r="N13" s="1" t="s">
        <v>33</v>
      </c>
      <c r="O13" s="1" t="s">
        <v>34</v>
      </c>
      <c r="P13" s="1" t="s">
        <v>35</v>
      </c>
      <c r="Q13" s="1">
        <v>0.2908</v>
      </c>
      <c r="R13" s="1" t="s">
        <v>205</v>
      </c>
      <c r="S13" s="1">
        <v>4</v>
      </c>
      <c r="T13" s="1">
        <v>3</v>
      </c>
      <c r="U13" s="1" t="s">
        <v>37</v>
      </c>
      <c r="V13" s="1" t="s">
        <v>37</v>
      </c>
      <c r="W13" s="1" t="s">
        <v>37</v>
      </c>
      <c r="X13" s="1">
        <v>5</v>
      </c>
      <c r="Y13" s="1" t="s">
        <v>37</v>
      </c>
      <c r="Z13" s="1" t="s">
        <v>37</v>
      </c>
      <c r="AA13" s="1" t="s">
        <v>80</v>
      </c>
    </row>
    <row r="14" spans="1:27" x14ac:dyDescent="0.3">
      <c r="A14" s="1">
        <v>13</v>
      </c>
      <c r="B14" s="1" t="s">
        <v>27</v>
      </c>
      <c r="C14" s="1" t="s">
        <v>269</v>
      </c>
      <c r="D14" s="1" t="s">
        <v>29</v>
      </c>
      <c r="E14" s="1" t="s">
        <v>30</v>
      </c>
      <c r="F14" s="1" t="s">
        <v>28</v>
      </c>
      <c r="G14" s="1" t="s">
        <v>31</v>
      </c>
      <c r="H14" s="1">
        <v>51</v>
      </c>
      <c r="I14" s="1" t="s">
        <v>32</v>
      </c>
      <c r="J14" s="1">
        <v>20000</v>
      </c>
      <c r="K14" s="1">
        <v>24993979</v>
      </c>
      <c r="L14" s="1">
        <v>45355</v>
      </c>
      <c r="M14" s="1">
        <v>45715</v>
      </c>
      <c r="N14" s="1" t="s">
        <v>33</v>
      </c>
      <c r="O14" s="1" t="s">
        <v>34</v>
      </c>
      <c r="P14" s="1" t="s">
        <v>35</v>
      </c>
      <c r="Q14" s="1">
        <v>0.2742</v>
      </c>
      <c r="R14" s="1" t="s">
        <v>36</v>
      </c>
      <c r="S14" s="1">
        <v>25</v>
      </c>
      <c r="T14" s="1">
        <v>5</v>
      </c>
      <c r="U14" s="1" t="s">
        <v>37</v>
      </c>
      <c r="V14" s="1" t="s">
        <v>37</v>
      </c>
      <c r="W14" s="1" t="s">
        <v>37</v>
      </c>
      <c r="X14" s="1">
        <v>8</v>
      </c>
      <c r="Y14" s="1" t="s">
        <v>37</v>
      </c>
      <c r="Z14" s="1" t="s">
        <v>37</v>
      </c>
      <c r="AA14" s="1" t="s">
        <v>38</v>
      </c>
    </row>
    <row r="15" spans="1:27" x14ac:dyDescent="0.3">
      <c r="A15" s="1">
        <v>14</v>
      </c>
      <c r="B15" s="1" t="s">
        <v>27</v>
      </c>
      <c r="C15" s="1" t="s">
        <v>269</v>
      </c>
      <c r="D15" s="1" t="s">
        <v>39</v>
      </c>
      <c r="E15" s="1" t="s">
        <v>40</v>
      </c>
      <c r="F15" s="1" t="s">
        <v>28</v>
      </c>
      <c r="G15" s="1" t="s">
        <v>41</v>
      </c>
      <c r="H15" s="1">
        <v>42</v>
      </c>
      <c r="I15" s="1" t="s">
        <v>32</v>
      </c>
      <c r="J15" s="1">
        <v>30000</v>
      </c>
      <c r="K15" s="1">
        <v>42055740</v>
      </c>
      <c r="L15" s="1">
        <v>44994</v>
      </c>
      <c r="M15" s="1">
        <v>46440</v>
      </c>
      <c r="N15" s="1" t="s">
        <v>33</v>
      </c>
      <c r="O15" s="1" t="s">
        <v>34</v>
      </c>
      <c r="P15" s="1" t="s">
        <v>35</v>
      </c>
      <c r="Q15" s="1">
        <v>0.2742</v>
      </c>
      <c r="R15" s="1" t="s">
        <v>42</v>
      </c>
      <c r="S15" s="1">
        <v>8</v>
      </c>
      <c r="T15" s="1">
        <v>3</v>
      </c>
      <c r="U15" s="1" t="s">
        <v>37</v>
      </c>
      <c r="V15" s="1" t="s">
        <v>37</v>
      </c>
      <c r="W15" s="1" t="s">
        <v>37</v>
      </c>
      <c r="X15" s="1">
        <v>10</v>
      </c>
      <c r="Y15" s="1" t="s">
        <v>37</v>
      </c>
      <c r="Z15" s="1" t="s">
        <v>37</v>
      </c>
      <c r="AA15" s="1" t="s">
        <v>38</v>
      </c>
    </row>
    <row r="16" spans="1:27" x14ac:dyDescent="0.3">
      <c r="A16" s="1">
        <v>15</v>
      </c>
      <c r="B16" s="1" t="s">
        <v>27</v>
      </c>
      <c r="C16" s="1" t="s">
        <v>269</v>
      </c>
      <c r="D16" s="1" t="s">
        <v>43</v>
      </c>
      <c r="E16" s="1" t="s">
        <v>44</v>
      </c>
      <c r="F16" s="1" t="s">
        <v>28</v>
      </c>
      <c r="G16" s="1" t="s">
        <v>45</v>
      </c>
      <c r="H16" s="1">
        <v>33</v>
      </c>
      <c r="I16" s="1" t="s">
        <v>46</v>
      </c>
      <c r="J16" s="1">
        <v>30000</v>
      </c>
      <c r="K16" s="1">
        <v>48061352</v>
      </c>
      <c r="L16" s="1">
        <v>45365</v>
      </c>
      <c r="M16" s="1">
        <v>45735</v>
      </c>
      <c r="N16" s="1" t="s">
        <v>33</v>
      </c>
      <c r="O16" s="1" t="s">
        <v>34</v>
      </c>
      <c r="P16" s="1" t="s">
        <v>35</v>
      </c>
      <c r="Q16" s="1">
        <v>0.25040000000000001</v>
      </c>
      <c r="R16" s="1" t="s">
        <v>47</v>
      </c>
      <c r="S16" s="1">
        <v>10</v>
      </c>
      <c r="T16" s="1">
        <v>4</v>
      </c>
      <c r="U16" s="1" t="s">
        <v>37</v>
      </c>
      <c r="V16" s="1" t="s">
        <v>37</v>
      </c>
      <c r="W16" s="1" t="s">
        <v>37</v>
      </c>
      <c r="X16" s="1">
        <v>5</v>
      </c>
      <c r="Y16" s="1" t="s">
        <v>37</v>
      </c>
      <c r="Z16" s="1" t="s">
        <v>37</v>
      </c>
      <c r="AA16" s="1" t="s">
        <v>38</v>
      </c>
    </row>
    <row r="17" spans="1:27" x14ac:dyDescent="0.3">
      <c r="A17" s="1">
        <v>16</v>
      </c>
      <c r="B17" s="1" t="s">
        <v>27</v>
      </c>
      <c r="C17" s="1" t="s">
        <v>269</v>
      </c>
      <c r="D17" s="1" t="s">
        <v>39</v>
      </c>
      <c r="E17" s="1" t="s">
        <v>48</v>
      </c>
      <c r="F17" s="1" t="s">
        <v>28</v>
      </c>
      <c r="G17" s="1" t="s">
        <v>49</v>
      </c>
      <c r="H17" s="1">
        <v>41</v>
      </c>
      <c r="I17" s="1" t="s">
        <v>46</v>
      </c>
      <c r="J17" s="1">
        <v>10000</v>
      </c>
      <c r="K17" s="1">
        <v>42163419</v>
      </c>
      <c r="L17" s="1">
        <v>45363</v>
      </c>
      <c r="M17" s="1">
        <v>45728</v>
      </c>
      <c r="N17" s="1" t="s">
        <v>33</v>
      </c>
      <c r="O17" s="1" t="s">
        <v>34</v>
      </c>
      <c r="P17" s="1" t="s">
        <v>35</v>
      </c>
      <c r="Q17" s="1">
        <v>0.2802</v>
      </c>
      <c r="R17" s="1" t="s">
        <v>50</v>
      </c>
      <c r="S17" s="1">
        <v>5</v>
      </c>
      <c r="T17" s="1">
        <v>3</v>
      </c>
      <c r="U17" s="1" t="s">
        <v>37</v>
      </c>
      <c r="V17" s="1" t="s">
        <v>37</v>
      </c>
      <c r="W17" s="1" t="s">
        <v>37</v>
      </c>
      <c r="X17" s="1">
        <v>6</v>
      </c>
      <c r="Y17" s="1" t="s">
        <v>37</v>
      </c>
      <c r="Z17" s="1" t="s">
        <v>37</v>
      </c>
      <c r="AA17" s="1" t="s">
        <v>38</v>
      </c>
    </row>
    <row r="18" spans="1:27" x14ac:dyDescent="0.3">
      <c r="A18" s="1">
        <v>17</v>
      </c>
      <c r="B18" s="1" t="s">
        <v>27</v>
      </c>
      <c r="C18" s="1" t="s">
        <v>269</v>
      </c>
      <c r="D18" s="1" t="s">
        <v>39</v>
      </c>
      <c r="E18" s="1" t="s">
        <v>51</v>
      </c>
      <c r="F18" s="1" t="s">
        <v>28</v>
      </c>
      <c r="G18" s="1" t="s">
        <v>52</v>
      </c>
      <c r="H18" s="1">
        <v>62</v>
      </c>
      <c r="I18" s="1" t="s">
        <v>32</v>
      </c>
      <c r="J18" s="1">
        <v>6000</v>
      </c>
      <c r="K18" s="1">
        <v>24998121</v>
      </c>
      <c r="L18" s="1">
        <v>45316</v>
      </c>
      <c r="M18" s="1">
        <v>45496</v>
      </c>
      <c r="N18" s="1" t="s">
        <v>53</v>
      </c>
      <c r="O18" s="1" t="s">
        <v>34</v>
      </c>
      <c r="P18" s="1" t="s">
        <v>35</v>
      </c>
      <c r="Q18" s="1">
        <v>0.3417</v>
      </c>
      <c r="R18" s="1" t="s">
        <v>54</v>
      </c>
      <c r="S18" s="1">
        <v>11</v>
      </c>
      <c r="T18" s="1">
        <v>4</v>
      </c>
      <c r="U18" s="1" t="s">
        <v>37</v>
      </c>
      <c r="V18" s="1" t="s">
        <v>37</v>
      </c>
      <c r="W18" s="1" t="s">
        <v>37</v>
      </c>
      <c r="X18" s="1">
        <v>10</v>
      </c>
      <c r="Y18" s="1" t="s">
        <v>37</v>
      </c>
      <c r="Z18" s="1" t="s">
        <v>37</v>
      </c>
      <c r="AA18" s="1" t="s">
        <v>38</v>
      </c>
    </row>
    <row r="19" spans="1:27" x14ac:dyDescent="0.3">
      <c r="A19" s="1">
        <v>18</v>
      </c>
      <c r="B19" s="1" t="s">
        <v>27</v>
      </c>
      <c r="C19" s="1" t="s">
        <v>269</v>
      </c>
      <c r="D19" s="1" t="s">
        <v>43</v>
      </c>
      <c r="E19" s="1" t="s">
        <v>55</v>
      </c>
      <c r="F19" s="1" t="s">
        <v>28</v>
      </c>
      <c r="G19" s="1" t="s">
        <v>56</v>
      </c>
      <c r="H19" s="1">
        <v>29</v>
      </c>
      <c r="I19" s="1" t="s">
        <v>46</v>
      </c>
      <c r="J19" s="1">
        <v>30000</v>
      </c>
      <c r="K19" s="1">
        <v>71314803</v>
      </c>
      <c r="L19" s="1">
        <v>45313</v>
      </c>
      <c r="M19" s="1">
        <v>46393</v>
      </c>
      <c r="N19" s="1" t="s">
        <v>33</v>
      </c>
      <c r="O19" s="1" t="s">
        <v>34</v>
      </c>
      <c r="P19" s="1" t="s">
        <v>35</v>
      </c>
      <c r="Q19" s="1">
        <v>0.25340000000000001</v>
      </c>
      <c r="R19" s="1" t="s">
        <v>57</v>
      </c>
      <c r="S19" s="1">
        <v>3</v>
      </c>
      <c r="T19" s="1">
        <v>2</v>
      </c>
      <c r="U19" s="1" t="s">
        <v>37</v>
      </c>
      <c r="V19" s="1" t="s">
        <v>37</v>
      </c>
      <c r="W19" s="1" t="s">
        <v>37</v>
      </c>
      <c r="X19" s="1">
        <v>12</v>
      </c>
      <c r="Y19" s="1" t="s">
        <v>37</v>
      </c>
      <c r="Z19" s="1" t="s">
        <v>37</v>
      </c>
      <c r="AA19" s="1" t="s">
        <v>38</v>
      </c>
    </row>
    <row r="20" spans="1:27" x14ac:dyDescent="0.3">
      <c r="A20" s="1">
        <v>19</v>
      </c>
      <c r="B20" s="1" t="s">
        <v>27</v>
      </c>
      <c r="C20" s="1" t="s">
        <v>269</v>
      </c>
      <c r="D20" s="1" t="s">
        <v>58</v>
      </c>
      <c r="E20" s="1" t="s">
        <v>59</v>
      </c>
      <c r="F20" s="1" t="s">
        <v>28</v>
      </c>
      <c r="G20" s="1" t="s">
        <v>60</v>
      </c>
      <c r="H20" s="1">
        <v>63</v>
      </c>
      <c r="I20" s="1" t="s">
        <v>32</v>
      </c>
      <c r="J20" s="1">
        <v>50000</v>
      </c>
      <c r="K20" s="1">
        <v>24940437</v>
      </c>
      <c r="L20" s="1">
        <v>44945</v>
      </c>
      <c r="M20" s="1">
        <v>47111</v>
      </c>
      <c r="N20" s="1" t="s">
        <v>53</v>
      </c>
      <c r="O20" s="1" t="s">
        <v>34</v>
      </c>
      <c r="P20" s="1" t="s">
        <v>61</v>
      </c>
      <c r="Q20" s="1">
        <v>0.2757</v>
      </c>
      <c r="R20" s="1" t="s">
        <v>62</v>
      </c>
      <c r="S20" s="1">
        <v>18</v>
      </c>
      <c r="T20" s="1">
        <v>12</v>
      </c>
      <c r="U20" s="1" t="s">
        <v>37</v>
      </c>
      <c r="V20" s="1" t="s">
        <v>37</v>
      </c>
      <c r="W20" s="1" t="s">
        <v>37</v>
      </c>
      <c r="X20" s="1">
        <v>5</v>
      </c>
      <c r="Y20" s="1" t="s">
        <v>37</v>
      </c>
      <c r="Z20" s="1" t="s">
        <v>37</v>
      </c>
      <c r="AA20" s="1" t="s">
        <v>38</v>
      </c>
    </row>
    <row r="21" spans="1:27" x14ac:dyDescent="0.3">
      <c r="A21" s="1">
        <v>20</v>
      </c>
      <c r="B21" s="1" t="s">
        <v>27</v>
      </c>
      <c r="C21" s="1" t="s">
        <v>269</v>
      </c>
      <c r="D21" s="1" t="s">
        <v>39</v>
      </c>
      <c r="E21" s="1" t="s">
        <v>63</v>
      </c>
      <c r="F21" s="1" t="s">
        <v>28</v>
      </c>
      <c r="G21" s="1" t="s">
        <v>64</v>
      </c>
      <c r="H21" s="1">
        <v>44</v>
      </c>
      <c r="I21" s="1" t="s">
        <v>32</v>
      </c>
      <c r="J21" s="1">
        <v>30000</v>
      </c>
      <c r="K21" s="1">
        <v>41378591</v>
      </c>
      <c r="L21" s="1">
        <v>45307</v>
      </c>
      <c r="M21" s="1">
        <v>45667</v>
      </c>
      <c r="N21" s="1" t="s">
        <v>33</v>
      </c>
      <c r="O21" s="1" t="s">
        <v>34</v>
      </c>
      <c r="P21" s="1" t="s">
        <v>35</v>
      </c>
      <c r="Q21" s="1">
        <v>0.25629999999999997</v>
      </c>
      <c r="R21" s="1" t="s">
        <v>65</v>
      </c>
      <c r="S21" s="1">
        <v>7</v>
      </c>
      <c r="T21" s="1">
        <v>4</v>
      </c>
      <c r="U21" s="1" t="s">
        <v>37</v>
      </c>
      <c r="V21" s="1" t="s">
        <v>37</v>
      </c>
      <c r="W21" s="1" t="s">
        <v>37</v>
      </c>
      <c r="X21" s="1">
        <v>8</v>
      </c>
      <c r="Y21" s="1" t="s">
        <v>37</v>
      </c>
      <c r="Z21" s="1" t="s">
        <v>37</v>
      </c>
      <c r="AA21" s="1" t="s">
        <v>38</v>
      </c>
    </row>
    <row r="22" spans="1:27" x14ac:dyDescent="0.3">
      <c r="A22" s="1">
        <v>21</v>
      </c>
      <c r="B22" s="1" t="s">
        <v>27</v>
      </c>
      <c r="C22" s="1" t="s">
        <v>269</v>
      </c>
      <c r="D22" s="1" t="s">
        <v>66</v>
      </c>
      <c r="E22" s="1" t="s">
        <v>67</v>
      </c>
      <c r="F22" s="1" t="s">
        <v>28</v>
      </c>
      <c r="G22" s="1" t="s">
        <v>68</v>
      </c>
      <c r="H22" s="1">
        <v>47</v>
      </c>
      <c r="I22" s="1" t="s">
        <v>46</v>
      </c>
      <c r="J22" s="1">
        <v>30000</v>
      </c>
      <c r="K22" s="1">
        <v>25010315</v>
      </c>
      <c r="L22" s="1">
        <v>45378</v>
      </c>
      <c r="M22" s="1">
        <v>45470</v>
      </c>
      <c r="N22" s="1" t="s">
        <v>33</v>
      </c>
      <c r="O22" s="1" t="s">
        <v>34</v>
      </c>
      <c r="P22" s="1" t="s">
        <v>35</v>
      </c>
      <c r="Q22" s="1">
        <v>0.26819999999999999</v>
      </c>
      <c r="R22" s="1" t="s">
        <v>69</v>
      </c>
      <c r="S22" s="1">
        <v>3</v>
      </c>
      <c r="T22" s="1">
        <v>3</v>
      </c>
      <c r="U22" s="1" t="s">
        <v>37</v>
      </c>
      <c r="V22" s="1" t="s">
        <v>37</v>
      </c>
      <c r="W22" s="1" t="s">
        <v>37</v>
      </c>
      <c r="X22" s="1">
        <v>7</v>
      </c>
      <c r="Y22" s="1" t="s">
        <v>37</v>
      </c>
      <c r="Z22" s="1" t="s">
        <v>37</v>
      </c>
      <c r="AA22" s="1" t="s">
        <v>38</v>
      </c>
    </row>
    <row r="23" spans="1:27" x14ac:dyDescent="0.3">
      <c r="A23" s="1">
        <v>22</v>
      </c>
      <c r="B23" s="1" t="s">
        <v>27</v>
      </c>
      <c r="C23" s="1" t="s">
        <v>269</v>
      </c>
      <c r="D23" s="1" t="s">
        <v>70</v>
      </c>
      <c r="E23" s="1" t="s">
        <v>71</v>
      </c>
      <c r="F23" s="1" t="s">
        <v>28</v>
      </c>
      <c r="G23" s="1" t="s">
        <v>72</v>
      </c>
      <c r="H23" s="1">
        <v>29</v>
      </c>
      <c r="I23" s="1" t="s">
        <v>32</v>
      </c>
      <c r="J23" s="1">
        <v>20000</v>
      </c>
      <c r="K23" s="1">
        <v>72448141</v>
      </c>
      <c r="L23" s="1">
        <v>45376</v>
      </c>
      <c r="M23" s="1">
        <v>45741</v>
      </c>
      <c r="N23" s="1" t="s">
        <v>33</v>
      </c>
      <c r="O23" s="1" t="s">
        <v>34</v>
      </c>
      <c r="P23" s="1" t="s">
        <v>35</v>
      </c>
      <c r="Q23" s="1">
        <v>0.26079999999999998</v>
      </c>
      <c r="R23" s="1" t="s">
        <v>73</v>
      </c>
      <c r="S23" s="1">
        <v>7</v>
      </c>
      <c r="T23" s="1">
        <v>5</v>
      </c>
      <c r="U23" s="1" t="s">
        <v>37</v>
      </c>
      <c r="V23" s="1" t="s">
        <v>37</v>
      </c>
      <c r="W23" s="1" t="s">
        <v>37</v>
      </c>
      <c r="X23" s="1">
        <v>5</v>
      </c>
      <c r="Y23" s="1" t="s">
        <v>37</v>
      </c>
      <c r="Z23" s="1" t="s">
        <v>37</v>
      </c>
      <c r="AA23" s="1" t="s">
        <v>38</v>
      </c>
    </row>
    <row r="24" spans="1:27" x14ac:dyDescent="0.3">
      <c r="A24" s="1">
        <v>23</v>
      </c>
      <c r="B24" s="1" t="s">
        <v>27</v>
      </c>
      <c r="C24" s="1" t="s">
        <v>269</v>
      </c>
      <c r="D24" s="1" t="s">
        <v>43</v>
      </c>
      <c r="E24" s="1" t="s">
        <v>74</v>
      </c>
      <c r="F24" s="1" t="s">
        <v>28</v>
      </c>
      <c r="G24" s="1" t="s">
        <v>75</v>
      </c>
      <c r="H24" s="1">
        <v>32</v>
      </c>
      <c r="I24" s="1" t="s">
        <v>46</v>
      </c>
      <c r="J24" s="1">
        <v>30000</v>
      </c>
      <c r="K24" s="1">
        <v>47687141</v>
      </c>
      <c r="L24" s="1">
        <v>45394</v>
      </c>
      <c r="M24" s="1">
        <v>46474</v>
      </c>
      <c r="N24" s="1" t="s">
        <v>33</v>
      </c>
      <c r="O24" s="1" t="s">
        <v>34</v>
      </c>
      <c r="P24" s="1" t="s">
        <v>35</v>
      </c>
      <c r="Q24" s="1">
        <v>0.26079999999999998</v>
      </c>
      <c r="R24" s="1" t="s">
        <v>76</v>
      </c>
      <c r="S24" s="1">
        <v>3</v>
      </c>
      <c r="T24" s="1">
        <v>2</v>
      </c>
      <c r="U24" s="1" t="s">
        <v>37</v>
      </c>
      <c r="V24" s="1" t="s">
        <v>37</v>
      </c>
      <c r="W24" s="1" t="s">
        <v>37</v>
      </c>
      <c r="X24" s="1">
        <v>5</v>
      </c>
      <c r="Y24" s="1" t="s">
        <v>37</v>
      </c>
      <c r="Z24" s="1" t="s">
        <v>37</v>
      </c>
      <c r="AA24" s="1" t="s">
        <v>38</v>
      </c>
    </row>
    <row r="25" spans="1:27" x14ac:dyDescent="0.3">
      <c r="A25" s="1">
        <v>24</v>
      </c>
      <c r="B25" s="1" t="s">
        <v>27</v>
      </c>
      <c r="C25" s="1" t="s">
        <v>269</v>
      </c>
      <c r="D25" s="1" t="s">
        <v>39</v>
      </c>
      <c r="E25" s="1" t="s">
        <v>77</v>
      </c>
      <c r="F25" s="1" t="s">
        <v>28</v>
      </c>
      <c r="G25" s="1" t="s">
        <v>78</v>
      </c>
      <c r="H25" s="1">
        <v>55</v>
      </c>
      <c r="I25" s="1" t="s">
        <v>32</v>
      </c>
      <c r="J25" s="1">
        <v>2500</v>
      </c>
      <c r="K25" s="1">
        <v>23939809</v>
      </c>
      <c r="L25" s="1">
        <v>45384</v>
      </c>
      <c r="M25" s="1">
        <v>45749</v>
      </c>
      <c r="N25" s="1" t="s">
        <v>33</v>
      </c>
      <c r="O25" s="1" t="s">
        <v>34</v>
      </c>
      <c r="P25" s="1" t="s">
        <v>35</v>
      </c>
      <c r="Q25" s="1">
        <v>0.3448</v>
      </c>
      <c r="R25" s="1" t="s">
        <v>79</v>
      </c>
      <c r="S25" s="1">
        <v>3</v>
      </c>
      <c r="T25" s="1">
        <v>2</v>
      </c>
      <c r="U25" s="1" t="s">
        <v>37</v>
      </c>
      <c r="V25" s="1" t="s">
        <v>37</v>
      </c>
      <c r="W25" s="1" t="s">
        <v>37</v>
      </c>
      <c r="X25" s="1">
        <v>4</v>
      </c>
      <c r="Y25" s="1" t="s">
        <v>37</v>
      </c>
      <c r="Z25" s="1" t="s">
        <v>37</v>
      </c>
      <c r="AA25" s="1" t="s">
        <v>80</v>
      </c>
    </row>
    <row r="26" spans="1:27" x14ac:dyDescent="0.3">
      <c r="A26" s="1">
        <v>25</v>
      </c>
      <c r="B26" s="1" t="s">
        <v>27</v>
      </c>
      <c r="C26" s="1" t="s">
        <v>269</v>
      </c>
      <c r="D26" s="1" t="s">
        <v>43</v>
      </c>
      <c r="E26" s="1" t="s">
        <v>81</v>
      </c>
      <c r="F26" s="1" t="s">
        <v>28</v>
      </c>
      <c r="G26" s="1" t="s">
        <v>82</v>
      </c>
      <c r="H26" s="1">
        <v>60</v>
      </c>
      <c r="I26" s="1" t="s">
        <v>32</v>
      </c>
      <c r="J26" s="1">
        <v>63000</v>
      </c>
      <c r="K26" s="1">
        <v>24953763</v>
      </c>
      <c r="L26" s="1">
        <v>45386</v>
      </c>
      <c r="M26" s="1">
        <v>45741</v>
      </c>
      <c r="N26" s="1" t="s">
        <v>33</v>
      </c>
      <c r="O26" s="1" t="s">
        <v>34</v>
      </c>
      <c r="P26" s="1" t="s">
        <v>35</v>
      </c>
      <c r="Q26" s="1">
        <v>0.26519999999999999</v>
      </c>
      <c r="R26" s="1" t="s">
        <v>83</v>
      </c>
      <c r="S26" s="1">
        <v>28</v>
      </c>
      <c r="T26" s="1">
        <v>20</v>
      </c>
      <c r="U26" s="1" t="s">
        <v>37</v>
      </c>
      <c r="V26" s="1" t="s">
        <v>37</v>
      </c>
      <c r="W26" s="1" t="s">
        <v>37</v>
      </c>
      <c r="X26" s="1">
        <v>5</v>
      </c>
      <c r="Y26" s="1" t="s">
        <v>37</v>
      </c>
      <c r="Z26" s="1" t="s">
        <v>37</v>
      </c>
      <c r="AA26" s="1" t="s">
        <v>38</v>
      </c>
    </row>
    <row r="27" spans="1:27" x14ac:dyDescent="0.3">
      <c r="A27" s="1">
        <v>26</v>
      </c>
      <c r="B27" s="1" t="s">
        <v>27</v>
      </c>
      <c r="C27" s="1" t="s">
        <v>269</v>
      </c>
      <c r="D27" s="1" t="s">
        <v>29</v>
      </c>
      <c r="E27" s="1" t="s">
        <v>84</v>
      </c>
      <c r="F27" s="1" t="s">
        <v>28</v>
      </c>
      <c r="G27" s="1" t="s">
        <v>85</v>
      </c>
      <c r="H27" s="1">
        <v>44</v>
      </c>
      <c r="I27" s="1" t="s">
        <v>32</v>
      </c>
      <c r="J27" s="1">
        <v>30000</v>
      </c>
      <c r="K27" s="1">
        <v>41378591</v>
      </c>
      <c r="L27" s="1">
        <v>45307</v>
      </c>
      <c r="M27" s="1">
        <v>45667</v>
      </c>
      <c r="N27" s="1" t="s">
        <v>33</v>
      </c>
      <c r="O27" s="1" t="s">
        <v>34</v>
      </c>
      <c r="P27" s="1" t="s">
        <v>35</v>
      </c>
      <c r="Q27" s="1">
        <v>0.25629999999999997</v>
      </c>
      <c r="R27" s="1" t="s">
        <v>86</v>
      </c>
      <c r="S27" s="1">
        <v>7</v>
      </c>
      <c r="T27" s="1">
        <v>4</v>
      </c>
      <c r="U27" s="1" t="s">
        <v>37</v>
      </c>
      <c r="V27" s="1" t="s">
        <v>37</v>
      </c>
      <c r="W27" s="1" t="s">
        <v>37</v>
      </c>
      <c r="X27" s="1">
        <v>5</v>
      </c>
      <c r="Y27" s="1" t="s">
        <v>37</v>
      </c>
      <c r="Z27" s="1" t="s">
        <v>37</v>
      </c>
      <c r="AA27" s="1" t="s">
        <v>38</v>
      </c>
    </row>
    <row r="28" spans="1:27" x14ac:dyDescent="0.3">
      <c r="A28" s="1">
        <v>27</v>
      </c>
      <c r="B28" s="1" t="s">
        <v>27</v>
      </c>
      <c r="C28" s="1" t="s">
        <v>269</v>
      </c>
      <c r="D28" s="1" t="s">
        <v>39</v>
      </c>
      <c r="E28" s="1" t="s">
        <v>87</v>
      </c>
      <c r="F28" s="1" t="s">
        <v>28</v>
      </c>
      <c r="G28" s="1" t="s">
        <v>88</v>
      </c>
      <c r="H28" s="1">
        <v>44</v>
      </c>
      <c r="I28" s="1" t="s">
        <v>32</v>
      </c>
      <c r="J28" s="1">
        <v>30000</v>
      </c>
      <c r="K28" s="1">
        <v>42268874</v>
      </c>
      <c r="L28" s="1">
        <v>45394</v>
      </c>
      <c r="M28" s="1">
        <v>45389</v>
      </c>
      <c r="N28" s="1" t="s">
        <v>89</v>
      </c>
      <c r="O28" s="1" t="s">
        <v>34</v>
      </c>
      <c r="P28" s="1" t="s">
        <v>35</v>
      </c>
      <c r="Q28" s="1">
        <v>0.26840000000000003</v>
      </c>
      <c r="R28" s="1" t="s">
        <v>90</v>
      </c>
      <c r="S28" s="1">
        <v>3</v>
      </c>
      <c r="T28" s="1">
        <v>1.5</v>
      </c>
      <c r="U28" s="1" t="s">
        <v>37</v>
      </c>
      <c r="V28" s="1" t="s">
        <v>37</v>
      </c>
      <c r="W28" s="1" t="s">
        <v>37</v>
      </c>
      <c r="X28" s="1">
        <v>10</v>
      </c>
      <c r="Y28" s="1" t="s">
        <v>37</v>
      </c>
      <c r="Z28" s="1" t="s">
        <v>37</v>
      </c>
      <c r="AA28" s="1" t="s">
        <v>38</v>
      </c>
    </row>
    <row r="29" spans="1:27" x14ac:dyDescent="0.3">
      <c r="A29" s="1">
        <v>28</v>
      </c>
      <c r="B29" s="1" t="s">
        <v>27</v>
      </c>
      <c r="C29" s="1" t="s">
        <v>269</v>
      </c>
      <c r="D29" s="1" t="s">
        <v>39</v>
      </c>
      <c r="E29" s="1" t="s">
        <v>91</v>
      </c>
      <c r="F29" s="1" t="s">
        <v>28</v>
      </c>
      <c r="G29" s="1" t="s">
        <v>92</v>
      </c>
      <c r="H29" s="1">
        <v>23</v>
      </c>
      <c r="I29" s="1" t="s">
        <v>46</v>
      </c>
      <c r="J29" s="1">
        <v>2000</v>
      </c>
      <c r="K29" s="1">
        <v>73423584</v>
      </c>
      <c r="L29" s="1">
        <v>45397</v>
      </c>
      <c r="M29" s="1">
        <v>45392</v>
      </c>
      <c r="N29" s="1" t="s">
        <v>33</v>
      </c>
      <c r="O29" s="1" t="s">
        <v>34</v>
      </c>
      <c r="P29" s="1" t="s">
        <v>35</v>
      </c>
      <c r="Q29" s="1">
        <v>0.3448</v>
      </c>
      <c r="R29" s="1" t="s">
        <v>93</v>
      </c>
      <c r="S29" s="1">
        <v>2</v>
      </c>
      <c r="T29" s="1">
        <v>2</v>
      </c>
      <c r="U29" s="1" t="s">
        <v>37</v>
      </c>
      <c r="V29" s="1" t="s">
        <v>37</v>
      </c>
      <c r="W29" s="1" t="s">
        <v>37</v>
      </c>
      <c r="X29" s="1">
        <v>6</v>
      </c>
      <c r="Y29" s="1" t="s">
        <v>37</v>
      </c>
      <c r="Z29" s="1" t="s">
        <v>37</v>
      </c>
      <c r="AA29" s="1" t="s">
        <v>38</v>
      </c>
    </row>
    <row r="30" spans="1:27" x14ac:dyDescent="0.3">
      <c r="A30" s="1">
        <v>29</v>
      </c>
      <c r="B30" s="1" t="s">
        <v>27</v>
      </c>
      <c r="C30" s="1" t="s">
        <v>269</v>
      </c>
      <c r="D30" s="1" t="s">
        <v>142</v>
      </c>
      <c r="E30" s="1" t="s">
        <v>117</v>
      </c>
      <c r="F30" s="1" t="s">
        <v>28</v>
      </c>
      <c r="G30" s="1" t="s">
        <v>143</v>
      </c>
      <c r="H30" s="1">
        <v>51</v>
      </c>
      <c r="I30" s="1" t="s">
        <v>46</v>
      </c>
      <c r="J30" s="1">
        <v>1000</v>
      </c>
      <c r="K30" s="1">
        <v>25012348</v>
      </c>
      <c r="L30" s="1">
        <v>45355</v>
      </c>
      <c r="M30" s="1">
        <v>45720</v>
      </c>
      <c r="N30" s="1" t="s">
        <v>33</v>
      </c>
      <c r="O30" s="1" t="s">
        <v>34</v>
      </c>
      <c r="P30" s="1" t="s">
        <v>35</v>
      </c>
      <c r="Q30" s="1">
        <v>0.3448</v>
      </c>
      <c r="R30" s="1" t="s">
        <v>144</v>
      </c>
      <c r="S30" s="1">
        <v>3</v>
      </c>
      <c r="T30" s="1">
        <v>3</v>
      </c>
      <c r="U30" s="1" t="s">
        <v>37</v>
      </c>
      <c r="V30" s="1" t="s">
        <v>37</v>
      </c>
      <c r="W30" s="1" t="s">
        <v>37</v>
      </c>
      <c r="X30" s="1">
        <v>10</v>
      </c>
      <c r="Y30" s="1" t="s">
        <v>37</v>
      </c>
      <c r="Z30" s="1" t="s">
        <v>37</v>
      </c>
      <c r="AA30" s="1" t="s">
        <v>80</v>
      </c>
    </row>
    <row r="31" spans="1:27" x14ac:dyDescent="0.3">
      <c r="A31" s="1">
        <v>30</v>
      </c>
      <c r="B31" s="1" t="s">
        <v>27</v>
      </c>
      <c r="C31" s="1" t="s">
        <v>269</v>
      </c>
      <c r="D31" s="1" t="s">
        <v>126</v>
      </c>
      <c r="E31" s="1" t="s">
        <v>145</v>
      </c>
      <c r="F31" s="1" t="s">
        <v>28</v>
      </c>
      <c r="G31" s="1" t="s">
        <v>146</v>
      </c>
      <c r="H31" s="1">
        <v>54</v>
      </c>
      <c r="I31" s="1" t="s">
        <v>46</v>
      </c>
      <c r="J31" s="1">
        <v>5000</v>
      </c>
      <c r="K31" s="1">
        <v>24983605</v>
      </c>
      <c r="L31" s="1">
        <v>45358</v>
      </c>
      <c r="M31" s="1">
        <v>45723</v>
      </c>
      <c r="N31" s="1" t="s">
        <v>33</v>
      </c>
      <c r="O31" s="1" t="s">
        <v>34</v>
      </c>
      <c r="P31" s="1" t="s">
        <v>35</v>
      </c>
      <c r="Q31" s="1">
        <v>0.47289999999999999</v>
      </c>
      <c r="R31" s="1" t="s">
        <v>147</v>
      </c>
      <c r="S31" s="1">
        <v>5</v>
      </c>
      <c r="T31" s="1">
        <v>4</v>
      </c>
      <c r="U31" s="1" t="s">
        <v>37</v>
      </c>
      <c r="V31" s="1" t="s">
        <v>37</v>
      </c>
      <c r="W31" s="1" t="s">
        <v>37</v>
      </c>
      <c r="X31" s="1">
        <v>12</v>
      </c>
      <c r="Y31" s="1" t="s">
        <v>37</v>
      </c>
      <c r="Z31" s="1" t="s">
        <v>37</v>
      </c>
      <c r="AA31" s="1" t="s">
        <v>38</v>
      </c>
    </row>
    <row r="32" spans="1:27" x14ac:dyDescent="0.3">
      <c r="A32" s="1">
        <v>31</v>
      </c>
      <c r="B32" s="1" t="s">
        <v>27</v>
      </c>
      <c r="C32" s="1" t="s">
        <v>269</v>
      </c>
      <c r="D32" s="1" t="s">
        <v>148</v>
      </c>
      <c r="E32" s="1" t="s">
        <v>149</v>
      </c>
      <c r="F32" s="1" t="s">
        <v>28</v>
      </c>
      <c r="G32" s="1" t="s">
        <v>150</v>
      </c>
      <c r="H32" s="1">
        <v>64</v>
      </c>
      <c r="I32" s="1" t="s">
        <v>32</v>
      </c>
      <c r="J32" s="1">
        <v>1500</v>
      </c>
      <c r="K32" s="1">
        <v>24962579</v>
      </c>
      <c r="L32" s="1">
        <v>45358</v>
      </c>
      <c r="M32" s="1">
        <v>45723</v>
      </c>
      <c r="N32" s="1" t="s">
        <v>33</v>
      </c>
      <c r="O32" s="1" t="s">
        <v>151</v>
      </c>
      <c r="P32" s="1" t="s">
        <v>35</v>
      </c>
      <c r="Q32" s="1">
        <v>0.3448</v>
      </c>
      <c r="R32" s="1" t="s">
        <v>152</v>
      </c>
      <c r="S32" s="1">
        <v>4</v>
      </c>
      <c r="T32" s="1">
        <v>4</v>
      </c>
      <c r="U32" s="1" t="s">
        <v>37</v>
      </c>
      <c r="V32" s="1" t="s">
        <v>37</v>
      </c>
      <c r="W32" s="1" t="s">
        <v>37</v>
      </c>
      <c r="X32" s="1">
        <v>8</v>
      </c>
      <c r="Y32" s="1" t="s">
        <v>37</v>
      </c>
      <c r="Z32" s="1" t="s">
        <v>37</v>
      </c>
      <c r="AA32" s="1" t="s">
        <v>38</v>
      </c>
    </row>
    <row r="33" spans="1:27" x14ac:dyDescent="0.3">
      <c r="A33" s="1">
        <v>32</v>
      </c>
      <c r="B33" s="1" t="s">
        <v>27</v>
      </c>
      <c r="C33" s="1" t="s">
        <v>269</v>
      </c>
      <c r="D33" s="1" t="s">
        <v>39</v>
      </c>
      <c r="E33" s="1" t="s">
        <v>123</v>
      </c>
      <c r="F33" s="1" t="s">
        <v>28</v>
      </c>
      <c r="G33" s="1" t="s">
        <v>153</v>
      </c>
      <c r="H33" s="1">
        <v>50</v>
      </c>
      <c r="I33" s="1" t="s">
        <v>32</v>
      </c>
      <c r="J33" s="1">
        <v>30000</v>
      </c>
      <c r="K33" s="1">
        <v>24997836</v>
      </c>
      <c r="L33" s="1">
        <v>45359</v>
      </c>
      <c r="M33" s="1">
        <v>46820</v>
      </c>
      <c r="N33" s="1" t="s">
        <v>53</v>
      </c>
      <c r="O33" s="1" t="s">
        <v>151</v>
      </c>
      <c r="P33" s="1" t="s">
        <v>35</v>
      </c>
      <c r="Q33" s="1">
        <v>0.2908</v>
      </c>
      <c r="R33" s="1" t="s">
        <v>154</v>
      </c>
      <c r="S33" s="1">
        <v>15</v>
      </c>
      <c r="T33" s="1">
        <v>7</v>
      </c>
      <c r="U33" s="1" t="s">
        <v>37</v>
      </c>
      <c r="V33" s="1" t="s">
        <v>37</v>
      </c>
      <c r="W33" s="1" t="s">
        <v>37</v>
      </c>
      <c r="X33" s="1">
        <v>13</v>
      </c>
      <c r="Y33" s="1" t="s">
        <v>37</v>
      </c>
      <c r="Z33" s="1" t="s">
        <v>37</v>
      </c>
      <c r="AA33" s="1" t="s">
        <v>38</v>
      </c>
    </row>
    <row r="34" spans="1:27" x14ac:dyDescent="0.3">
      <c r="A34" s="1">
        <v>33</v>
      </c>
      <c r="B34" s="1" t="s">
        <v>27</v>
      </c>
      <c r="C34" s="1" t="s">
        <v>269</v>
      </c>
      <c r="D34" s="1" t="s">
        <v>39</v>
      </c>
      <c r="E34" s="1" t="s">
        <v>155</v>
      </c>
      <c r="F34" s="1" t="s">
        <v>28</v>
      </c>
      <c r="G34" s="1" t="s">
        <v>156</v>
      </c>
      <c r="H34" s="1">
        <v>29</v>
      </c>
      <c r="I34" s="1" t="s">
        <v>46</v>
      </c>
      <c r="J34" s="1">
        <v>4000</v>
      </c>
      <c r="K34" s="1">
        <v>63121545</v>
      </c>
      <c r="L34" s="1">
        <v>45359</v>
      </c>
      <c r="M34" s="1">
        <v>45731</v>
      </c>
      <c r="N34" s="1" t="s">
        <v>33</v>
      </c>
      <c r="O34" s="1" t="s">
        <v>151</v>
      </c>
      <c r="P34" s="1" t="s">
        <v>35</v>
      </c>
      <c r="Q34" s="1">
        <v>0.33700000000000002</v>
      </c>
      <c r="R34" s="1" t="s">
        <v>157</v>
      </c>
      <c r="S34" s="1">
        <v>5</v>
      </c>
      <c r="T34" s="1">
        <v>4</v>
      </c>
      <c r="U34" s="1" t="s">
        <v>37</v>
      </c>
      <c r="V34" s="1" t="s">
        <v>37</v>
      </c>
      <c r="W34" s="1" t="s">
        <v>37</v>
      </c>
      <c r="X34" s="1">
        <v>6</v>
      </c>
      <c r="Y34" s="1" t="s">
        <v>37</v>
      </c>
      <c r="Z34" s="1" t="s">
        <v>37</v>
      </c>
      <c r="AA34" s="1" t="s">
        <v>80</v>
      </c>
    </row>
    <row r="35" spans="1:27" x14ac:dyDescent="0.3">
      <c r="A35" s="1">
        <v>34</v>
      </c>
      <c r="B35" s="1" t="s">
        <v>27</v>
      </c>
      <c r="C35" s="1" t="s">
        <v>269</v>
      </c>
      <c r="D35" s="1" t="s">
        <v>39</v>
      </c>
      <c r="E35" s="1" t="s">
        <v>158</v>
      </c>
      <c r="F35" s="1" t="s">
        <v>28</v>
      </c>
      <c r="G35" s="1" t="s">
        <v>159</v>
      </c>
      <c r="H35" s="1">
        <v>59</v>
      </c>
      <c r="I35" s="1" t="s">
        <v>32</v>
      </c>
      <c r="J35" s="1">
        <v>7000</v>
      </c>
      <c r="K35" s="1">
        <v>24988697</v>
      </c>
      <c r="L35" s="1">
        <v>45366</v>
      </c>
      <c r="M35" s="1">
        <v>45726</v>
      </c>
      <c r="N35" s="1" t="s">
        <v>33</v>
      </c>
      <c r="O35" s="1" t="s">
        <v>151</v>
      </c>
      <c r="P35" s="1" t="s">
        <v>35</v>
      </c>
      <c r="Q35" s="1">
        <v>0.33229999999999998</v>
      </c>
      <c r="R35" s="1" t="s">
        <v>160</v>
      </c>
      <c r="S35" s="1">
        <v>5.5</v>
      </c>
      <c r="T35" s="1">
        <v>5</v>
      </c>
      <c r="U35" s="1" t="s">
        <v>37</v>
      </c>
      <c r="V35" s="1" t="s">
        <v>37</v>
      </c>
      <c r="W35" s="1" t="s">
        <v>37</v>
      </c>
      <c r="X35" s="1">
        <v>15</v>
      </c>
      <c r="Y35" s="1" t="s">
        <v>37</v>
      </c>
      <c r="Z35" s="1" t="s">
        <v>37</v>
      </c>
      <c r="AA35" s="1" t="s">
        <v>38</v>
      </c>
    </row>
    <row r="36" spans="1:27" x14ac:dyDescent="0.3">
      <c r="A36" s="1">
        <v>35</v>
      </c>
      <c r="B36" s="1" t="s">
        <v>27</v>
      </c>
      <c r="C36" s="1" t="s">
        <v>269</v>
      </c>
      <c r="D36" s="1" t="s">
        <v>43</v>
      </c>
      <c r="E36" s="1" t="s">
        <v>161</v>
      </c>
      <c r="F36" s="1" t="s">
        <v>28</v>
      </c>
      <c r="G36" s="1" t="s">
        <v>207</v>
      </c>
      <c r="H36" s="1">
        <v>45</v>
      </c>
      <c r="I36" s="1" t="s">
        <v>46</v>
      </c>
      <c r="J36" s="1">
        <v>2500</v>
      </c>
      <c r="K36" s="1">
        <v>40350437</v>
      </c>
      <c r="L36" s="1">
        <v>45362</v>
      </c>
      <c r="M36" s="1">
        <v>45727</v>
      </c>
      <c r="N36" s="1" t="s">
        <v>33</v>
      </c>
      <c r="O36" s="1" t="s">
        <v>151</v>
      </c>
      <c r="P36" s="1" t="s">
        <v>35</v>
      </c>
      <c r="Q36" s="1">
        <v>0.3448</v>
      </c>
      <c r="R36" s="1" t="s">
        <v>162</v>
      </c>
      <c r="S36" s="1">
        <v>3</v>
      </c>
      <c r="T36" s="1">
        <v>3</v>
      </c>
      <c r="U36" s="1" t="s">
        <v>37</v>
      </c>
      <c r="V36" s="1" t="s">
        <v>37</v>
      </c>
      <c r="W36" s="1" t="s">
        <v>37</v>
      </c>
      <c r="X36" s="1">
        <v>11</v>
      </c>
      <c r="Y36" s="1" t="s">
        <v>37</v>
      </c>
      <c r="Z36" s="1" t="s">
        <v>37</v>
      </c>
      <c r="AA36" s="1" t="s">
        <v>80</v>
      </c>
    </row>
    <row r="37" spans="1:27" x14ac:dyDescent="0.3">
      <c r="A37" s="1">
        <v>36</v>
      </c>
      <c r="B37" s="1" t="s">
        <v>27</v>
      </c>
      <c r="C37" s="1" t="s">
        <v>269</v>
      </c>
      <c r="D37" s="1" t="s">
        <v>39</v>
      </c>
      <c r="E37" s="1" t="s">
        <v>99</v>
      </c>
      <c r="F37" s="1" t="s">
        <v>28</v>
      </c>
      <c r="G37" s="1" t="s">
        <v>163</v>
      </c>
      <c r="H37" s="1">
        <v>29</v>
      </c>
      <c r="I37" s="1" t="s">
        <v>46</v>
      </c>
      <c r="J37" s="1">
        <v>3000</v>
      </c>
      <c r="K37" s="1">
        <v>71196664</v>
      </c>
      <c r="L37" s="1">
        <v>45365</v>
      </c>
      <c r="M37" s="1">
        <v>45730</v>
      </c>
      <c r="N37" s="1" t="s">
        <v>33</v>
      </c>
      <c r="O37" s="1" t="s">
        <v>164</v>
      </c>
      <c r="P37" s="1" t="s">
        <v>35</v>
      </c>
      <c r="Q37" s="1">
        <v>0.33700000000000002</v>
      </c>
      <c r="R37" s="1" t="s">
        <v>165</v>
      </c>
      <c r="S37" s="1">
        <v>5</v>
      </c>
      <c r="T37" s="1">
        <v>2</v>
      </c>
      <c r="U37" s="1" t="s">
        <v>37</v>
      </c>
      <c r="V37" s="1" t="s">
        <v>37</v>
      </c>
      <c r="W37" s="1" t="s">
        <v>37</v>
      </c>
      <c r="X37" s="1">
        <v>17</v>
      </c>
      <c r="Y37" s="1" t="s">
        <v>37</v>
      </c>
      <c r="Z37" s="1" t="s">
        <v>37</v>
      </c>
      <c r="AA37" s="1" t="s">
        <v>80</v>
      </c>
    </row>
    <row r="38" spans="1:27" x14ac:dyDescent="0.3">
      <c r="A38" s="1">
        <v>37</v>
      </c>
      <c r="B38" s="1" t="s">
        <v>27</v>
      </c>
      <c r="C38" s="1" t="s">
        <v>269</v>
      </c>
      <c r="D38" s="1" t="s">
        <v>39</v>
      </c>
      <c r="E38" s="1" t="s">
        <v>166</v>
      </c>
      <c r="F38" s="1" t="s">
        <v>28</v>
      </c>
      <c r="G38" s="1" t="s">
        <v>167</v>
      </c>
      <c r="H38" s="1">
        <v>61</v>
      </c>
      <c r="I38" s="1" t="s">
        <v>32</v>
      </c>
      <c r="J38" s="1">
        <v>2000</v>
      </c>
      <c r="K38" s="1">
        <v>24997995</v>
      </c>
      <c r="L38" s="1">
        <v>45341</v>
      </c>
      <c r="M38" s="1">
        <v>45529</v>
      </c>
      <c r="N38" s="1" t="s">
        <v>33</v>
      </c>
      <c r="O38" s="1" t="s">
        <v>34</v>
      </c>
      <c r="P38" s="1" t="s">
        <v>35</v>
      </c>
      <c r="Q38" s="1">
        <v>0.4274</v>
      </c>
      <c r="R38" s="1" t="s">
        <v>168</v>
      </c>
      <c r="S38" s="1">
        <v>3</v>
      </c>
      <c r="T38" s="1">
        <v>3</v>
      </c>
      <c r="U38" s="1" t="s">
        <v>37</v>
      </c>
      <c r="V38" s="1" t="s">
        <v>37</v>
      </c>
      <c r="W38" s="1" t="s">
        <v>37</v>
      </c>
      <c r="X38" s="1">
        <v>13</v>
      </c>
      <c r="Y38" s="1" t="s">
        <v>37</v>
      </c>
      <c r="Z38" s="1" t="s">
        <v>37</v>
      </c>
      <c r="AA38" s="1" t="s">
        <v>80</v>
      </c>
    </row>
    <row r="39" spans="1:27" x14ac:dyDescent="0.3">
      <c r="A39" s="1">
        <v>38</v>
      </c>
      <c r="B39" s="1" t="s">
        <v>27</v>
      </c>
      <c r="C39" s="1" t="s">
        <v>269</v>
      </c>
      <c r="D39" s="1" t="s">
        <v>39</v>
      </c>
      <c r="E39" s="1" t="s">
        <v>99</v>
      </c>
      <c r="F39" s="1" t="s">
        <v>28</v>
      </c>
      <c r="G39" s="1" t="s">
        <v>100</v>
      </c>
      <c r="H39" s="1">
        <v>34</v>
      </c>
      <c r="I39" s="1" t="s">
        <v>46</v>
      </c>
      <c r="J39" s="1">
        <v>5000</v>
      </c>
      <c r="K39" s="1">
        <v>46371126</v>
      </c>
      <c r="L39" s="1">
        <v>45338</v>
      </c>
      <c r="M39" s="1">
        <v>45705</v>
      </c>
      <c r="N39" s="1" t="s">
        <v>33</v>
      </c>
      <c r="O39" s="1" t="s">
        <v>34</v>
      </c>
      <c r="P39" s="1" t="s">
        <v>35</v>
      </c>
      <c r="Q39" s="1">
        <v>0.33229999999999998</v>
      </c>
      <c r="R39" s="1" t="s">
        <v>101</v>
      </c>
      <c r="S39" s="1">
        <v>6</v>
      </c>
      <c r="T39" s="1">
        <v>4</v>
      </c>
      <c r="U39" s="1" t="s">
        <v>37</v>
      </c>
      <c r="V39" s="1" t="s">
        <v>37</v>
      </c>
      <c r="W39" s="1" t="s">
        <v>37</v>
      </c>
      <c r="X39" s="1">
        <v>6</v>
      </c>
      <c r="Y39" s="1" t="s">
        <v>37</v>
      </c>
      <c r="Z39" s="1" t="s">
        <v>37</v>
      </c>
      <c r="AA39" s="1" t="s">
        <v>38</v>
      </c>
    </row>
    <row r="40" spans="1:27" x14ac:dyDescent="0.3">
      <c r="A40" s="1">
        <v>39</v>
      </c>
      <c r="B40" s="1" t="s">
        <v>27</v>
      </c>
      <c r="C40" s="1" t="s">
        <v>269</v>
      </c>
      <c r="D40" s="1" t="s">
        <v>29</v>
      </c>
      <c r="E40" s="1" t="s">
        <v>102</v>
      </c>
      <c r="F40" s="1" t="s">
        <v>28</v>
      </c>
      <c r="G40" s="1" t="s">
        <v>103</v>
      </c>
      <c r="H40" s="1">
        <v>25</v>
      </c>
      <c r="I40" s="1" t="s">
        <v>32</v>
      </c>
      <c r="J40" s="1">
        <v>5000</v>
      </c>
      <c r="K40" s="1">
        <v>76983784</v>
      </c>
      <c r="L40" s="1">
        <v>45391</v>
      </c>
      <c r="M40" s="1">
        <v>45756</v>
      </c>
      <c r="N40" s="1" t="s">
        <v>33</v>
      </c>
      <c r="O40" s="1" t="s">
        <v>34</v>
      </c>
      <c r="P40" s="1" t="s">
        <v>35</v>
      </c>
      <c r="Q40" s="1">
        <v>0.33229999999999998</v>
      </c>
      <c r="R40" s="1" t="s">
        <v>104</v>
      </c>
      <c r="S40" s="1">
        <v>7</v>
      </c>
      <c r="T40" s="1">
        <v>5</v>
      </c>
      <c r="U40" s="1" t="s">
        <v>37</v>
      </c>
      <c r="V40" s="1" t="s">
        <v>37</v>
      </c>
      <c r="W40" s="1" t="s">
        <v>37</v>
      </c>
      <c r="X40" s="1">
        <v>8</v>
      </c>
      <c r="Y40" s="1" t="s">
        <v>37</v>
      </c>
      <c r="Z40" s="1" t="s">
        <v>37</v>
      </c>
      <c r="AA40" s="1" t="s">
        <v>38</v>
      </c>
    </row>
    <row r="41" spans="1:27" x14ac:dyDescent="0.3">
      <c r="A41" s="1">
        <v>40</v>
      </c>
      <c r="B41" s="1" t="s">
        <v>27</v>
      </c>
      <c r="C41" s="1" t="s">
        <v>269</v>
      </c>
      <c r="D41" s="1" t="s">
        <v>39</v>
      </c>
      <c r="E41" s="1" t="s">
        <v>105</v>
      </c>
      <c r="F41" s="1" t="s">
        <v>28</v>
      </c>
      <c r="G41" s="1" t="s">
        <v>106</v>
      </c>
      <c r="H41" s="1">
        <v>62</v>
      </c>
      <c r="I41" s="1" t="s">
        <v>32</v>
      </c>
      <c r="J41" s="1">
        <v>3000</v>
      </c>
      <c r="K41" s="1">
        <v>24972730</v>
      </c>
      <c r="L41" s="1">
        <v>45377</v>
      </c>
      <c r="M41" s="1">
        <v>45737</v>
      </c>
      <c r="N41" s="1" t="s">
        <v>33</v>
      </c>
      <c r="O41" s="1" t="s">
        <v>34</v>
      </c>
      <c r="P41" s="1" t="s">
        <v>35</v>
      </c>
      <c r="Q41" s="1">
        <v>0.33700000000000002</v>
      </c>
      <c r="R41" s="1" t="s">
        <v>107</v>
      </c>
      <c r="S41" s="1">
        <v>10</v>
      </c>
      <c r="T41" s="1">
        <v>3</v>
      </c>
      <c r="U41" s="1" t="s">
        <v>37</v>
      </c>
      <c r="V41" s="1" t="s">
        <v>37</v>
      </c>
      <c r="W41" s="1" t="s">
        <v>37</v>
      </c>
      <c r="X41" s="1">
        <v>15</v>
      </c>
      <c r="Y41" s="1" t="s">
        <v>37</v>
      </c>
      <c r="Z41" s="1" t="s">
        <v>37</v>
      </c>
      <c r="AA41" s="1" t="s">
        <v>80</v>
      </c>
    </row>
    <row r="42" spans="1:27" x14ac:dyDescent="0.3">
      <c r="A42" s="1">
        <v>41</v>
      </c>
      <c r="B42" s="1" t="s">
        <v>27</v>
      </c>
      <c r="C42" s="1" t="s">
        <v>269</v>
      </c>
      <c r="D42" s="1" t="s">
        <v>39</v>
      </c>
      <c r="E42" s="1" t="s">
        <v>108</v>
      </c>
      <c r="F42" s="1" t="s">
        <v>28</v>
      </c>
      <c r="G42" s="1" t="s">
        <v>109</v>
      </c>
      <c r="H42" s="1">
        <v>43</v>
      </c>
      <c r="I42" s="1" t="s">
        <v>32</v>
      </c>
      <c r="J42" s="1">
        <v>4000</v>
      </c>
      <c r="K42" s="1">
        <v>43116798</v>
      </c>
      <c r="L42" s="1">
        <v>45411</v>
      </c>
      <c r="M42" s="1">
        <v>45606</v>
      </c>
      <c r="N42" s="1" t="s">
        <v>33</v>
      </c>
      <c r="O42" s="1" t="s">
        <v>34</v>
      </c>
      <c r="P42" s="1" t="s">
        <v>35</v>
      </c>
      <c r="Q42" s="1">
        <v>0.33700000000000002</v>
      </c>
      <c r="R42" s="1" t="s">
        <v>110</v>
      </c>
      <c r="S42" s="1">
        <v>10</v>
      </c>
      <c r="T42" s="1">
        <v>4</v>
      </c>
      <c r="U42" s="1" t="s">
        <v>37</v>
      </c>
      <c r="V42" s="1" t="s">
        <v>37</v>
      </c>
      <c r="W42" s="1" t="s">
        <v>37</v>
      </c>
      <c r="X42" s="1">
        <v>10</v>
      </c>
      <c r="Y42" s="1" t="s">
        <v>37</v>
      </c>
      <c r="Z42" s="1" t="s">
        <v>37</v>
      </c>
      <c r="AA42" s="1" t="s">
        <v>38</v>
      </c>
    </row>
    <row r="43" spans="1:27" x14ac:dyDescent="0.3">
      <c r="A43" s="1">
        <v>42</v>
      </c>
      <c r="B43" s="1" t="s">
        <v>27</v>
      </c>
      <c r="C43" s="1" t="s">
        <v>269</v>
      </c>
      <c r="D43" s="1" t="s">
        <v>39</v>
      </c>
      <c r="E43" s="1" t="s">
        <v>111</v>
      </c>
      <c r="F43" s="1" t="s">
        <v>28</v>
      </c>
      <c r="G43" s="1" t="s">
        <v>112</v>
      </c>
      <c r="H43" s="1">
        <v>65</v>
      </c>
      <c r="I43" s="1" t="s">
        <v>46</v>
      </c>
      <c r="J43" s="1">
        <v>3000</v>
      </c>
      <c r="K43" s="1">
        <v>24972730</v>
      </c>
      <c r="L43" s="1">
        <v>45377</v>
      </c>
      <c r="M43" s="1">
        <v>45737</v>
      </c>
      <c r="N43" s="1" t="s">
        <v>33</v>
      </c>
      <c r="O43" s="1" t="s">
        <v>34</v>
      </c>
      <c r="P43" s="1" t="s">
        <v>35</v>
      </c>
      <c r="Q43" s="1">
        <v>0.33700000000000002</v>
      </c>
      <c r="R43" s="1" t="s">
        <v>113</v>
      </c>
      <c r="S43" s="1">
        <v>8</v>
      </c>
      <c r="T43" s="1">
        <v>5</v>
      </c>
      <c r="U43" s="1" t="s">
        <v>37</v>
      </c>
      <c r="V43" s="1" t="s">
        <v>37</v>
      </c>
      <c r="W43" s="1" t="s">
        <v>37</v>
      </c>
      <c r="X43" s="1">
        <v>5</v>
      </c>
      <c r="Y43" s="1" t="s">
        <v>37</v>
      </c>
      <c r="Z43" s="1" t="s">
        <v>37</v>
      </c>
      <c r="AA43" s="1" t="s">
        <v>80</v>
      </c>
    </row>
    <row r="44" spans="1:27" x14ac:dyDescent="0.3">
      <c r="A44" s="1">
        <v>43</v>
      </c>
      <c r="B44" s="1" t="s">
        <v>27</v>
      </c>
      <c r="C44" s="1" t="s">
        <v>269</v>
      </c>
      <c r="D44" s="1" t="s">
        <v>39</v>
      </c>
      <c r="E44" s="1" t="s">
        <v>114</v>
      </c>
      <c r="F44" s="1" t="s">
        <v>28</v>
      </c>
      <c r="G44" s="1" t="s">
        <v>115</v>
      </c>
      <c r="H44" s="1">
        <v>49</v>
      </c>
      <c r="I44" s="1" t="s">
        <v>46</v>
      </c>
      <c r="J44" s="1">
        <v>1500</v>
      </c>
      <c r="K44" s="1">
        <v>10387241</v>
      </c>
      <c r="L44" s="1">
        <v>45391</v>
      </c>
      <c r="M44" s="1">
        <v>45756</v>
      </c>
      <c r="N44" s="1" t="s">
        <v>33</v>
      </c>
      <c r="O44" s="1" t="s">
        <v>34</v>
      </c>
      <c r="P44" s="1" t="s">
        <v>35</v>
      </c>
      <c r="Q44" s="1">
        <v>0.3448</v>
      </c>
      <c r="R44" s="1" t="s">
        <v>116</v>
      </c>
      <c r="S44" s="1">
        <v>5</v>
      </c>
      <c r="T44" s="1">
        <v>3</v>
      </c>
      <c r="U44" s="1" t="s">
        <v>37</v>
      </c>
      <c r="V44" s="1" t="s">
        <v>37</v>
      </c>
      <c r="W44" s="1" t="s">
        <v>37</v>
      </c>
      <c r="X44" s="1">
        <v>10</v>
      </c>
      <c r="Y44" s="1" t="s">
        <v>37</v>
      </c>
      <c r="Z44" s="1" t="s">
        <v>37</v>
      </c>
      <c r="AA44" s="1" t="s">
        <v>80</v>
      </c>
    </row>
    <row r="45" spans="1:27" x14ac:dyDescent="0.3">
      <c r="A45" s="1">
        <v>44</v>
      </c>
      <c r="B45" s="1" t="s">
        <v>27</v>
      </c>
      <c r="C45" s="1" t="s">
        <v>269</v>
      </c>
      <c r="D45" s="1" t="s">
        <v>43</v>
      </c>
      <c r="E45" s="1" t="s">
        <v>117</v>
      </c>
      <c r="F45" s="1" t="s">
        <v>28</v>
      </c>
      <c r="G45" s="1" t="s">
        <v>118</v>
      </c>
      <c r="H45" s="1">
        <v>33</v>
      </c>
      <c r="I45" s="1" t="s">
        <v>32</v>
      </c>
      <c r="J45" s="1">
        <v>1000</v>
      </c>
      <c r="K45" s="1">
        <v>47015418</v>
      </c>
      <c r="L45" s="1">
        <v>45397</v>
      </c>
      <c r="M45" s="1">
        <v>45413</v>
      </c>
      <c r="N45" s="1" t="s">
        <v>33</v>
      </c>
      <c r="O45" s="1" t="s">
        <v>34</v>
      </c>
      <c r="P45" s="1" t="s">
        <v>35</v>
      </c>
      <c r="Q45" s="1">
        <v>0.33229999999999998</v>
      </c>
      <c r="R45" s="1" t="s">
        <v>119</v>
      </c>
      <c r="S45" s="1">
        <v>5</v>
      </c>
      <c r="T45" s="1">
        <v>4</v>
      </c>
      <c r="U45" s="1" t="s">
        <v>37</v>
      </c>
      <c r="V45" s="1" t="s">
        <v>37</v>
      </c>
      <c r="W45" s="1" t="s">
        <v>37</v>
      </c>
      <c r="X45" s="1">
        <v>15</v>
      </c>
      <c r="Y45" s="1" t="s">
        <v>37</v>
      </c>
      <c r="Z45" s="1" t="s">
        <v>37</v>
      </c>
      <c r="AA45" s="1" t="s">
        <v>38</v>
      </c>
    </row>
    <row r="46" spans="1:27" x14ac:dyDescent="0.3">
      <c r="A46" s="1">
        <v>45</v>
      </c>
      <c r="B46" s="1" t="s">
        <v>27</v>
      </c>
      <c r="C46" s="1" t="s">
        <v>269</v>
      </c>
      <c r="D46" s="1" t="s">
        <v>39</v>
      </c>
      <c r="E46" s="1" t="s">
        <v>120</v>
      </c>
      <c r="F46" s="1" t="s">
        <v>28</v>
      </c>
      <c r="G46" s="1" t="s">
        <v>121</v>
      </c>
      <c r="H46" s="1">
        <v>63</v>
      </c>
      <c r="I46" s="1" t="s">
        <v>32</v>
      </c>
      <c r="J46" s="1">
        <v>1000</v>
      </c>
      <c r="K46" s="1">
        <v>24985530</v>
      </c>
      <c r="L46" s="1">
        <v>45334</v>
      </c>
      <c r="M46" s="1">
        <v>45704</v>
      </c>
      <c r="N46" s="1" t="s">
        <v>33</v>
      </c>
      <c r="O46" s="1" t="s">
        <v>34</v>
      </c>
      <c r="P46" s="1" t="s">
        <v>35</v>
      </c>
      <c r="Q46" s="1">
        <v>0.3448</v>
      </c>
      <c r="R46" s="1" t="s">
        <v>122</v>
      </c>
      <c r="S46" s="1">
        <v>6</v>
      </c>
      <c r="T46" s="1">
        <v>2</v>
      </c>
      <c r="U46" s="1" t="s">
        <v>37</v>
      </c>
      <c r="V46" s="1" t="s">
        <v>37</v>
      </c>
      <c r="W46" s="1" t="s">
        <v>37</v>
      </c>
      <c r="X46" s="1">
        <v>10</v>
      </c>
      <c r="Y46" s="1" t="s">
        <v>37</v>
      </c>
      <c r="Z46" s="1" t="s">
        <v>37</v>
      </c>
      <c r="AA46" s="1" t="s">
        <v>80</v>
      </c>
    </row>
    <row r="47" spans="1:27" x14ac:dyDescent="0.3">
      <c r="A47" s="1">
        <v>46</v>
      </c>
      <c r="B47" s="1" t="s">
        <v>27</v>
      </c>
      <c r="C47" s="1" t="s">
        <v>269</v>
      </c>
      <c r="D47" s="1" t="s">
        <v>39</v>
      </c>
      <c r="E47" s="1" t="s">
        <v>123</v>
      </c>
      <c r="F47" s="1" t="s">
        <v>28</v>
      </c>
      <c r="G47" s="1" t="s">
        <v>124</v>
      </c>
      <c r="H47" s="1">
        <v>31</v>
      </c>
      <c r="I47" s="1" t="s">
        <v>32</v>
      </c>
      <c r="J47" s="1">
        <v>15000</v>
      </c>
      <c r="K47" s="1">
        <v>48503551</v>
      </c>
      <c r="L47" s="1">
        <v>45394</v>
      </c>
      <c r="M47" s="1">
        <v>45943</v>
      </c>
      <c r="N47" s="1" t="s">
        <v>33</v>
      </c>
      <c r="O47" s="1" t="s">
        <v>34</v>
      </c>
      <c r="P47" s="1" t="s">
        <v>35</v>
      </c>
      <c r="Q47" s="1">
        <v>0.2908</v>
      </c>
      <c r="R47" s="1" t="s">
        <v>125</v>
      </c>
      <c r="S47" s="1">
        <v>10</v>
      </c>
      <c r="T47" s="1">
        <v>6</v>
      </c>
      <c r="U47" s="1" t="s">
        <v>37</v>
      </c>
      <c r="V47" s="1" t="s">
        <v>37</v>
      </c>
      <c r="W47" s="1" t="s">
        <v>37</v>
      </c>
      <c r="X47" s="1">
        <v>5</v>
      </c>
      <c r="Y47" s="1" t="s">
        <v>37</v>
      </c>
      <c r="Z47" s="1" t="s">
        <v>37</v>
      </c>
      <c r="AA47" s="1" t="s">
        <v>38</v>
      </c>
    </row>
    <row r="48" spans="1:27" x14ac:dyDescent="0.3">
      <c r="A48" s="1">
        <v>47</v>
      </c>
      <c r="B48" s="1" t="s">
        <v>27</v>
      </c>
      <c r="C48" s="1" t="s">
        <v>269</v>
      </c>
      <c r="D48" s="1" t="s">
        <v>126</v>
      </c>
      <c r="E48" s="1" t="s">
        <v>127</v>
      </c>
      <c r="F48" s="1" t="s">
        <v>28</v>
      </c>
      <c r="G48" s="1" t="s">
        <v>128</v>
      </c>
      <c r="H48" s="1">
        <v>59</v>
      </c>
      <c r="I48" s="1" t="s">
        <v>46</v>
      </c>
      <c r="J48" s="1">
        <v>10000</v>
      </c>
      <c r="K48" s="1">
        <v>25005850</v>
      </c>
      <c r="L48" s="1">
        <v>45332</v>
      </c>
      <c r="M48" s="1">
        <v>45698</v>
      </c>
      <c r="N48" s="1" t="s">
        <v>33</v>
      </c>
      <c r="O48" s="1" t="s">
        <v>34</v>
      </c>
      <c r="P48" s="1" t="s">
        <v>35</v>
      </c>
      <c r="Q48" s="1">
        <v>0.28770000000000001</v>
      </c>
      <c r="R48" s="1" t="s">
        <v>129</v>
      </c>
      <c r="S48" s="1">
        <v>8.5</v>
      </c>
      <c r="T48" s="1">
        <v>6</v>
      </c>
      <c r="U48" s="1" t="s">
        <v>37</v>
      </c>
      <c r="V48" s="1" t="s">
        <v>37</v>
      </c>
      <c r="W48" s="1" t="s">
        <v>37</v>
      </c>
      <c r="X48" s="1">
        <v>4</v>
      </c>
      <c r="Y48" s="1" t="s">
        <v>37</v>
      </c>
      <c r="Z48" s="1" t="s">
        <v>37</v>
      </c>
      <c r="AA48" s="1" t="s">
        <v>38</v>
      </c>
    </row>
    <row r="49" spans="1:27" x14ac:dyDescent="0.3">
      <c r="A49" s="1">
        <v>48</v>
      </c>
      <c r="B49" s="1" t="s">
        <v>27</v>
      </c>
      <c r="C49" s="1" t="s">
        <v>269</v>
      </c>
      <c r="D49" s="1" t="s">
        <v>29</v>
      </c>
      <c r="E49" s="1" t="s">
        <v>130</v>
      </c>
      <c r="F49" s="1" t="s">
        <v>28</v>
      </c>
      <c r="G49" s="1" t="s">
        <v>131</v>
      </c>
      <c r="H49" s="1">
        <v>39</v>
      </c>
      <c r="I49" s="1" t="s">
        <v>46</v>
      </c>
      <c r="J49" s="1">
        <v>2000</v>
      </c>
      <c r="K49" s="1">
        <v>43155501</v>
      </c>
      <c r="L49" s="1">
        <v>45381</v>
      </c>
      <c r="M49" s="1">
        <v>45749</v>
      </c>
      <c r="N49" s="1" t="s">
        <v>33</v>
      </c>
      <c r="O49" s="1" t="s">
        <v>34</v>
      </c>
      <c r="P49" s="1" t="s">
        <v>35</v>
      </c>
      <c r="Q49" s="1">
        <v>0.3448</v>
      </c>
      <c r="R49" s="1" t="s">
        <v>132</v>
      </c>
      <c r="S49" s="1">
        <v>1.5</v>
      </c>
      <c r="T49" s="1">
        <v>1.5</v>
      </c>
      <c r="U49" s="1" t="s">
        <v>37</v>
      </c>
      <c r="V49" s="1" t="s">
        <v>37</v>
      </c>
      <c r="W49" s="1" t="s">
        <v>37</v>
      </c>
      <c r="X49" s="1">
        <v>5</v>
      </c>
      <c r="Y49" s="1" t="s">
        <v>37</v>
      </c>
      <c r="Z49" s="1" t="s">
        <v>37</v>
      </c>
      <c r="AA49" s="1" t="s">
        <v>38</v>
      </c>
    </row>
    <row r="50" spans="1:27" x14ac:dyDescent="0.3">
      <c r="A50" s="1">
        <v>49</v>
      </c>
      <c r="B50" s="1" t="s">
        <v>27</v>
      </c>
      <c r="C50" s="1" t="s">
        <v>269</v>
      </c>
      <c r="D50" s="1" t="s">
        <v>29</v>
      </c>
      <c r="E50" s="1" t="s">
        <v>133</v>
      </c>
      <c r="F50" s="1" t="s">
        <v>28</v>
      </c>
      <c r="G50" s="1" t="s">
        <v>134</v>
      </c>
      <c r="H50" s="1">
        <v>58</v>
      </c>
      <c r="I50" s="1" t="s">
        <v>46</v>
      </c>
      <c r="J50" s="1">
        <v>3000</v>
      </c>
      <c r="K50" s="1">
        <v>24956468</v>
      </c>
      <c r="L50" s="1">
        <v>45376</v>
      </c>
      <c r="M50" s="1">
        <v>45736</v>
      </c>
      <c r="N50" s="1" t="s">
        <v>33</v>
      </c>
      <c r="O50" s="1" t="s">
        <v>34</v>
      </c>
      <c r="P50" s="1" t="s">
        <v>35</v>
      </c>
      <c r="Q50" s="1">
        <v>0.33700000000000002</v>
      </c>
      <c r="R50" s="1" t="s">
        <v>135</v>
      </c>
      <c r="S50" s="1">
        <v>2</v>
      </c>
      <c r="T50" s="1">
        <v>2</v>
      </c>
      <c r="U50" s="1" t="s">
        <v>37</v>
      </c>
      <c r="V50" s="1" t="s">
        <v>37</v>
      </c>
      <c r="W50" s="1" t="s">
        <v>37</v>
      </c>
      <c r="X50" s="1">
        <v>20</v>
      </c>
      <c r="Y50" s="1" t="s">
        <v>37</v>
      </c>
      <c r="Z50" s="1" t="s">
        <v>37</v>
      </c>
      <c r="AA50" s="1" t="s">
        <v>80</v>
      </c>
    </row>
    <row r="51" spans="1:27" x14ac:dyDescent="0.3">
      <c r="A51" s="1">
        <v>50</v>
      </c>
      <c r="B51" s="1" t="s">
        <v>27</v>
      </c>
      <c r="C51" s="1" t="s">
        <v>269</v>
      </c>
      <c r="D51" s="1" t="s">
        <v>29</v>
      </c>
      <c r="E51" s="1" t="s">
        <v>136</v>
      </c>
      <c r="F51" s="1" t="s">
        <v>28</v>
      </c>
      <c r="G51" s="1" t="s">
        <v>137</v>
      </c>
      <c r="H51" s="1">
        <v>62</v>
      </c>
      <c r="I51" s="1" t="s">
        <v>32</v>
      </c>
      <c r="J51" s="1">
        <v>2000</v>
      </c>
      <c r="K51" s="1">
        <v>24950610</v>
      </c>
      <c r="L51" s="1">
        <v>45387</v>
      </c>
      <c r="M51" s="1">
        <v>45747</v>
      </c>
      <c r="N51" s="1" t="s">
        <v>33</v>
      </c>
      <c r="O51" s="1" t="s">
        <v>34</v>
      </c>
      <c r="P51" s="1" t="s">
        <v>35</v>
      </c>
      <c r="Q51" s="1">
        <v>0.3448</v>
      </c>
      <c r="R51" s="1" t="s">
        <v>138</v>
      </c>
      <c r="S51" s="1">
        <v>2</v>
      </c>
      <c r="T51" s="1">
        <v>2</v>
      </c>
      <c r="U51" s="1" t="s">
        <v>37</v>
      </c>
      <c r="V51" s="1" t="s">
        <v>37</v>
      </c>
      <c r="W51" s="1" t="s">
        <v>37</v>
      </c>
      <c r="X51" s="1">
        <v>10</v>
      </c>
      <c r="Y51" s="1" t="s">
        <v>37</v>
      </c>
      <c r="Z51" s="1" t="s">
        <v>37</v>
      </c>
      <c r="AA51" s="1" t="s">
        <v>80</v>
      </c>
    </row>
    <row r="52" spans="1:27" x14ac:dyDescent="0.3">
      <c r="A52" s="1">
        <v>51</v>
      </c>
      <c r="B52" s="1" t="s">
        <v>27</v>
      </c>
      <c r="C52" s="1" t="s">
        <v>269</v>
      </c>
      <c r="D52" s="1" t="s">
        <v>39</v>
      </c>
      <c r="E52" s="1" t="s">
        <v>139</v>
      </c>
      <c r="F52" s="1" t="s">
        <v>28</v>
      </c>
      <c r="G52" s="1" t="s">
        <v>140</v>
      </c>
      <c r="H52" s="1">
        <v>37</v>
      </c>
      <c r="I52" s="1" t="s">
        <v>46</v>
      </c>
      <c r="J52" s="1">
        <v>3000</v>
      </c>
      <c r="K52" s="1">
        <v>44595061</v>
      </c>
      <c r="L52" s="1">
        <v>45394</v>
      </c>
      <c r="M52" s="1">
        <v>45755</v>
      </c>
      <c r="N52" s="1" t="s">
        <v>33</v>
      </c>
      <c r="O52" s="1" t="s">
        <v>34</v>
      </c>
      <c r="P52" s="1" t="s">
        <v>35</v>
      </c>
      <c r="Q52" s="1">
        <v>0.33700000000000002</v>
      </c>
      <c r="R52" s="1" t="s">
        <v>141</v>
      </c>
      <c r="S52" s="1">
        <v>2</v>
      </c>
      <c r="T52" s="1">
        <v>2</v>
      </c>
      <c r="U52" s="1" t="s">
        <v>37</v>
      </c>
      <c r="V52" s="1" t="s">
        <v>37</v>
      </c>
      <c r="W52" s="1" t="s">
        <v>37</v>
      </c>
      <c r="X52" s="1">
        <v>5</v>
      </c>
      <c r="Y52" s="1" t="s">
        <v>37</v>
      </c>
      <c r="Z52" s="1" t="s">
        <v>37</v>
      </c>
      <c r="AA52" s="1" t="s">
        <v>38</v>
      </c>
    </row>
    <row r="53" spans="1:27" x14ac:dyDescent="0.3">
      <c r="A53" s="1">
        <v>52</v>
      </c>
      <c r="B53" s="1" t="s">
        <v>27</v>
      </c>
      <c r="C53" s="1" t="s">
        <v>269</v>
      </c>
      <c r="D53" s="1" t="s">
        <v>39</v>
      </c>
      <c r="E53" s="1" t="s">
        <v>208</v>
      </c>
      <c r="F53" s="1" t="s">
        <v>28</v>
      </c>
      <c r="G53" s="1" t="s">
        <v>210</v>
      </c>
      <c r="H53" s="1">
        <v>29</v>
      </c>
      <c r="I53" s="1" t="s">
        <v>46</v>
      </c>
      <c r="J53" s="1">
        <v>500</v>
      </c>
      <c r="K53" s="1">
        <v>77668223</v>
      </c>
      <c r="L53" s="1">
        <v>45430</v>
      </c>
      <c r="M53" s="1">
        <v>45614</v>
      </c>
      <c r="N53" s="1" t="s">
        <v>33</v>
      </c>
      <c r="O53" s="1" t="s">
        <v>34</v>
      </c>
      <c r="P53" s="1" t="s">
        <v>35</v>
      </c>
      <c r="Q53" s="1">
        <v>0.434</v>
      </c>
      <c r="R53" s="1" t="s">
        <v>209</v>
      </c>
      <c r="S53" s="1">
        <v>5</v>
      </c>
      <c r="T53" s="1">
        <v>4</v>
      </c>
      <c r="U53" s="1" t="s">
        <v>37</v>
      </c>
      <c r="V53" s="1" t="s">
        <v>37</v>
      </c>
      <c r="W53" s="1" t="s">
        <v>37</v>
      </c>
      <c r="X53" s="1">
        <v>4</v>
      </c>
      <c r="Y53" s="1" t="s">
        <v>37</v>
      </c>
      <c r="Z53" s="1" t="s">
        <v>37</v>
      </c>
      <c r="AA53" s="1" t="s">
        <v>38</v>
      </c>
    </row>
    <row r="54" spans="1:27" x14ac:dyDescent="0.3">
      <c r="A54" s="1">
        <v>53</v>
      </c>
      <c r="B54" s="1" t="s">
        <v>27</v>
      </c>
      <c r="C54" s="1" t="s">
        <v>269</v>
      </c>
      <c r="D54" s="1" t="s">
        <v>39</v>
      </c>
      <c r="E54" s="1" t="s">
        <v>211</v>
      </c>
      <c r="F54" s="1" t="s">
        <v>28</v>
      </c>
      <c r="G54" s="1" t="s">
        <v>212</v>
      </c>
      <c r="H54" s="1">
        <v>24</v>
      </c>
      <c r="I54" s="1" t="s">
        <v>32</v>
      </c>
      <c r="J54" s="1">
        <v>6000</v>
      </c>
      <c r="K54" s="1">
        <v>60202811</v>
      </c>
      <c r="L54" s="1">
        <v>45433</v>
      </c>
      <c r="M54" s="1">
        <v>45793</v>
      </c>
      <c r="N54" s="1" t="s">
        <v>33</v>
      </c>
      <c r="O54" s="1" t="s">
        <v>34</v>
      </c>
      <c r="P54" s="1" t="s">
        <v>35</v>
      </c>
      <c r="Q54" s="1">
        <v>0.32140000000000002</v>
      </c>
      <c r="R54" s="1" t="s">
        <v>213</v>
      </c>
      <c r="S54" s="1">
        <v>10</v>
      </c>
      <c r="T54" s="1">
        <v>9</v>
      </c>
      <c r="U54" s="1" t="s">
        <v>37</v>
      </c>
      <c r="V54" s="1" t="s">
        <v>37</v>
      </c>
      <c r="W54" s="1" t="s">
        <v>37</v>
      </c>
      <c r="X54" s="1">
        <v>5</v>
      </c>
      <c r="Y54" s="1" t="s">
        <v>37</v>
      </c>
      <c r="Z54" s="1" t="s">
        <v>37</v>
      </c>
      <c r="AA54" s="1" t="s">
        <v>38</v>
      </c>
    </row>
    <row r="55" spans="1:27" x14ac:dyDescent="0.3">
      <c r="A55" s="1">
        <v>54</v>
      </c>
      <c r="B55" s="1" t="s">
        <v>27</v>
      </c>
      <c r="C55" s="1" t="s">
        <v>269</v>
      </c>
      <c r="D55" s="1" t="s">
        <v>126</v>
      </c>
      <c r="E55" s="1" t="s">
        <v>214</v>
      </c>
      <c r="F55" s="1" t="s">
        <v>28</v>
      </c>
      <c r="G55" s="1" t="s">
        <v>215</v>
      </c>
      <c r="H55" s="1">
        <v>64</v>
      </c>
      <c r="I55" s="1" t="s">
        <v>32</v>
      </c>
      <c r="J55" s="1">
        <v>5000</v>
      </c>
      <c r="K55" s="1">
        <v>23918813</v>
      </c>
      <c r="L55" s="1">
        <v>45059</v>
      </c>
      <c r="M55" s="1">
        <v>45609</v>
      </c>
      <c r="N55" s="1" t="s">
        <v>33</v>
      </c>
      <c r="O55" s="1" t="s">
        <v>34</v>
      </c>
      <c r="P55" s="1" t="s">
        <v>35</v>
      </c>
      <c r="Q55" s="1">
        <v>0.22409999999999999</v>
      </c>
      <c r="R55" s="1" t="s">
        <v>216</v>
      </c>
      <c r="S55" s="1">
        <v>10</v>
      </c>
      <c r="T55" s="1">
        <v>9</v>
      </c>
      <c r="U55" s="1" t="s">
        <v>37</v>
      </c>
      <c r="V55" s="1" t="s">
        <v>37</v>
      </c>
      <c r="W55" s="1" t="s">
        <v>37</v>
      </c>
      <c r="X55" s="1">
        <v>20</v>
      </c>
      <c r="Y55" s="1" t="s">
        <v>37</v>
      </c>
      <c r="Z55" s="1" t="s">
        <v>37</v>
      </c>
      <c r="AA55" s="1" t="s">
        <v>38</v>
      </c>
    </row>
    <row r="56" spans="1:27" x14ac:dyDescent="0.3">
      <c r="A56" s="1">
        <v>55</v>
      </c>
      <c r="B56" s="1" t="s">
        <v>27</v>
      </c>
      <c r="C56" s="1" t="s">
        <v>269</v>
      </c>
      <c r="D56" s="1" t="s">
        <v>126</v>
      </c>
      <c r="E56" s="1" t="s">
        <v>217</v>
      </c>
      <c r="F56" s="1" t="s">
        <v>28</v>
      </c>
      <c r="G56" s="1" t="s">
        <v>218</v>
      </c>
      <c r="H56" s="1">
        <v>32</v>
      </c>
      <c r="I56" s="1" t="s">
        <v>32</v>
      </c>
      <c r="J56" s="1">
        <v>2500</v>
      </c>
      <c r="K56" s="1">
        <v>47095849</v>
      </c>
      <c r="L56" s="1">
        <v>45421</v>
      </c>
      <c r="M56" s="1">
        <v>45786</v>
      </c>
      <c r="N56" s="1" t="s">
        <v>33</v>
      </c>
      <c r="O56" s="1" t="s">
        <v>34</v>
      </c>
      <c r="P56" s="1" t="s">
        <v>35</v>
      </c>
      <c r="Q56" s="1">
        <v>0.3448</v>
      </c>
      <c r="R56" s="1" t="s">
        <v>219</v>
      </c>
      <c r="S56" s="1">
        <v>7</v>
      </c>
      <c r="T56" s="1">
        <v>6</v>
      </c>
      <c r="U56" s="1" t="s">
        <v>37</v>
      </c>
      <c r="V56" s="1" t="s">
        <v>37</v>
      </c>
      <c r="W56" s="1" t="s">
        <v>37</v>
      </c>
      <c r="X56" s="1">
        <v>7</v>
      </c>
      <c r="Y56" s="1" t="s">
        <v>37</v>
      </c>
      <c r="Z56" s="1" t="s">
        <v>37</v>
      </c>
      <c r="AA56" s="1" t="s">
        <v>38</v>
      </c>
    </row>
    <row r="57" spans="1:27" x14ac:dyDescent="0.3">
      <c r="A57" s="1">
        <v>56</v>
      </c>
      <c r="B57" s="1" t="s">
        <v>27</v>
      </c>
      <c r="C57" s="1" t="s">
        <v>269</v>
      </c>
      <c r="D57" s="1" t="s">
        <v>39</v>
      </c>
      <c r="E57" s="1" t="s">
        <v>220</v>
      </c>
      <c r="F57" s="1" t="s">
        <v>28</v>
      </c>
      <c r="G57" s="1" t="s">
        <v>434</v>
      </c>
      <c r="H57" s="1">
        <v>53</v>
      </c>
      <c r="I57" s="1" t="s">
        <v>32</v>
      </c>
      <c r="J57" s="1">
        <v>4000</v>
      </c>
      <c r="K57" s="1">
        <v>24997845</v>
      </c>
      <c r="L57" s="1">
        <v>45411</v>
      </c>
      <c r="M57" s="1">
        <v>45785</v>
      </c>
      <c r="N57" s="1" t="s">
        <v>33</v>
      </c>
      <c r="O57" s="1" t="s">
        <v>34</v>
      </c>
      <c r="P57" s="1" t="s">
        <v>35</v>
      </c>
      <c r="Q57" s="1">
        <v>0.33700000000000002</v>
      </c>
      <c r="R57" s="1" t="s">
        <v>221</v>
      </c>
      <c r="S57" s="1">
        <v>10</v>
      </c>
      <c r="T57" s="1">
        <v>5</v>
      </c>
      <c r="U57" s="1" t="s">
        <v>37</v>
      </c>
      <c r="V57" s="1" t="s">
        <v>37</v>
      </c>
      <c r="W57" s="1" t="s">
        <v>37</v>
      </c>
      <c r="X57" s="1">
        <v>12</v>
      </c>
      <c r="Y57" s="1" t="s">
        <v>37</v>
      </c>
      <c r="Z57" s="1" t="s">
        <v>37</v>
      </c>
      <c r="AA57" s="1" t="s">
        <v>38</v>
      </c>
    </row>
    <row r="58" spans="1:27" x14ac:dyDescent="0.3">
      <c r="A58" s="1">
        <v>57</v>
      </c>
      <c r="B58" s="1" t="s">
        <v>27</v>
      </c>
      <c r="C58" s="1" t="s">
        <v>269</v>
      </c>
      <c r="D58" s="1" t="s">
        <v>43</v>
      </c>
      <c r="E58" s="1" t="s">
        <v>222</v>
      </c>
      <c r="F58" s="1" t="s">
        <v>28</v>
      </c>
      <c r="G58" s="1" t="s">
        <v>435</v>
      </c>
      <c r="H58" s="1">
        <v>55</v>
      </c>
      <c r="I58" s="1" t="s">
        <v>46</v>
      </c>
      <c r="J58" s="1">
        <v>500</v>
      </c>
      <c r="K58" s="1">
        <v>24992152</v>
      </c>
      <c r="L58" s="1">
        <v>45412</v>
      </c>
      <c r="M58" s="1">
        <v>45599</v>
      </c>
      <c r="N58" s="1" t="s">
        <v>33</v>
      </c>
      <c r="O58" s="1" t="s">
        <v>34</v>
      </c>
      <c r="P58" s="1" t="s">
        <v>35</v>
      </c>
      <c r="Q58" s="1">
        <v>0.60650000000000004</v>
      </c>
      <c r="R58" s="1" t="s">
        <v>224</v>
      </c>
      <c r="S58" s="1">
        <v>7</v>
      </c>
      <c r="T58" s="1">
        <v>3</v>
      </c>
      <c r="U58" s="1" t="s">
        <v>37</v>
      </c>
      <c r="V58" s="1" t="s">
        <v>37</v>
      </c>
      <c r="W58" s="1" t="s">
        <v>37</v>
      </c>
      <c r="X58" s="1">
        <v>15</v>
      </c>
      <c r="Y58" s="1" t="s">
        <v>37</v>
      </c>
      <c r="Z58" s="1" t="s">
        <v>37</v>
      </c>
      <c r="AA58" s="1" t="s">
        <v>38</v>
      </c>
    </row>
    <row r="59" spans="1:27" x14ac:dyDescent="0.3">
      <c r="A59" s="1">
        <v>58</v>
      </c>
      <c r="B59" s="1" t="s">
        <v>27</v>
      </c>
      <c r="C59" s="1" t="s">
        <v>269</v>
      </c>
      <c r="D59" s="1" t="s">
        <v>29</v>
      </c>
      <c r="E59" s="1" t="s">
        <v>29</v>
      </c>
      <c r="F59" s="1" t="s">
        <v>28</v>
      </c>
      <c r="G59" s="1" t="s">
        <v>223</v>
      </c>
      <c r="H59" s="1">
        <v>61</v>
      </c>
      <c r="I59" s="1" t="s">
        <v>46</v>
      </c>
      <c r="J59" s="1">
        <v>2000</v>
      </c>
      <c r="K59" s="1">
        <v>24944112</v>
      </c>
      <c r="L59" s="1">
        <v>45369</v>
      </c>
      <c r="M59" s="1">
        <v>45734</v>
      </c>
      <c r="N59" s="1" t="s">
        <v>33</v>
      </c>
      <c r="O59" s="1" t="s">
        <v>34</v>
      </c>
      <c r="P59" s="1" t="s">
        <v>35</v>
      </c>
      <c r="Q59" s="1">
        <v>0.3448</v>
      </c>
      <c r="R59" s="1" t="s">
        <v>225</v>
      </c>
      <c r="S59" s="1">
        <v>10</v>
      </c>
      <c r="T59" s="1">
        <v>5</v>
      </c>
      <c r="U59" s="1" t="s">
        <v>37</v>
      </c>
      <c r="V59" s="1" t="s">
        <v>37</v>
      </c>
      <c r="W59" s="1" t="s">
        <v>37</v>
      </c>
      <c r="X59" s="1">
        <v>20</v>
      </c>
      <c r="Y59" s="1" t="s">
        <v>37</v>
      </c>
      <c r="Z59" s="1" t="s">
        <v>37</v>
      </c>
      <c r="AA59" s="1" t="s">
        <v>38</v>
      </c>
    </row>
    <row r="60" spans="1:27" x14ac:dyDescent="0.3">
      <c r="A60" s="1">
        <v>59</v>
      </c>
      <c r="B60" s="1" t="s">
        <v>27</v>
      </c>
      <c r="C60" s="1" t="s">
        <v>269</v>
      </c>
      <c r="D60" s="1" t="s">
        <v>43</v>
      </c>
      <c r="E60" s="1" t="s">
        <v>226</v>
      </c>
      <c r="F60" s="1" t="s">
        <v>28</v>
      </c>
      <c r="G60" s="1" t="s">
        <v>227</v>
      </c>
      <c r="H60" s="1">
        <v>61</v>
      </c>
      <c r="I60" s="1" t="s">
        <v>46</v>
      </c>
      <c r="J60" s="1">
        <v>1000</v>
      </c>
      <c r="K60" s="1">
        <v>25212083</v>
      </c>
      <c r="L60" s="1">
        <v>45420</v>
      </c>
      <c r="M60" s="1">
        <v>45784</v>
      </c>
      <c r="N60" s="1" t="s">
        <v>33</v>
      </c>
      <c r="O60" s="1" t="s">
        <v>34</v>
      </c>
      <c r="P60" s="1" t="s">
        <v>35</v>
      </c>
      <c r="Q60" s="1">
        <v>0.3448</v>
      </c>
      <c r="R60" s="1" t="s">
        <v>228</v>
      </c>
      <c r="S60" s="1">
        <v>5</v>
      </c>
      <c r="T60" s="1">
        <v>3</v>
      </c>
      <c r="U60" s="1" t="s">
        <v>37</v>
      </c>
      <c r="V60" s="1" t="s">
        <v>37</v>
      </c>
      <c r="W60" s="1" t="s">
        <v>37</v>
      </c>
      <c r="X60" s="1">
        <v>25</v>
      </c>
      <c r="Y60" s="1" t="s">
        <v>37</v>
      </c>
      <c r="Z60" s="1" t="s">
        <v>37</v>
      </c>
      <c r="AA60" s="1" t="s">
        <v>38</v>
      </c>
    </row>
    <row r="61" spans="1:27" x14ac:dyDescent="0.3">
      <c r="A61" s="1">
        <v>60</v>
      </c>
      <c r="B61" s="1" t="s">
        <v>27</v>
      </c>
      <c r="C61" s="1" t="s">
        <v>269</v>
      </c>
      <c r="D61" s="1" t="s">
        <v>39</v>
      </c>
      <c r="E61" s="1" t="s">
        <v>229</v>
      </c>
      <c r="F61" s="1" t="s">
        <v>28</v>
      </c>
      <c r="G61" s="1" t="s">
        <v>230</v>
      </c>
      <c r="H61" s="1">
        <v>43</v>
      </c>
      <c r="I61" s="1" t="s">
        <v>32</v>
      </c>
      <c r="J61" s="1">
        <v>4000</v>
      </c>
      <c r="K61" s="1">
        <v>43116798</v>
      </c>
      <c r="L61" s="1">
        <v>45411</v>
      </c>
      <c r="M61" s="1">
        <v>45606</v>
      </c>
      <c r="N61" s="1" t="s">
        <v>89</v>
      </c>
      <c r="O61" s="1" t="s">
        <v>34</v>
      </c>
      <c r="P61" s="1" t="s">
        <v>35</v>
      </c>
      <c r="Q61" s="1">
        <v>0.33700000000000002</v>
      </c>
      <c r="R61" s="1" t="s">
        <v>231</v>
      </c>
      <c r="S61" s="1">
        <v>10</v>
      </c>
      <c r="T61" s="1">
        <v>6</v>
      </c>
      <c r="U61" s="1" t="s">
        <v>37</v>
      </c>
      <c r="V61" s="1" t="s">
        <v>37</v>
      </c>
      <c r="W61" s="1" t="s">
        <v>37</v>
      </c>
      <c r="X61" s="1">
        <v>10</v>
      </c>
      <c r="Y61" s="1" t="s">
        <v>37</v>
      </c>
      <c r="Z61" s="1" t="s">
        <v>37</v>
      </c>
      <c r="AA61" s="1" t="s">
        <v>38</v>
      </c>
    </row>
    <row r="62" spans="1:27" x14ac:dyDescent="0.3">
      <c r="A62" s="1">
        <v>61</v>
      </c>
      <c r="B62" s="1" t="s">
        <v>27</v>
      </c>
      <c r="C62" s="1" t="s">
        <v>269</v>
      </c>
      <c r="D62" s="1" t="s">
        <v>232</v>
      </c>
      <c r="E62" s="1" t="s">
        <v>233</v>
      </c>
      <c r="F62" s="1" t="s">
        <v>28</v>
      </c>
      <c r="G62" s="1" t="s">
        <v>234</v>
      </c>
      <c r="H62" s="1">
        <v>40</v>
      </c>
      <c r="I62" s="1" t="s">
        <v>32</v>
      </c>
      <c r="J62" s="1">
        <v>30000</v>
      </c>
      <c r="K62" s="1">
        <v>42532850</v>
      </c>
      <c r="L62" s="1">
        <v>45421</v>
      </c>
      <c r="M62" s="1">
        <v>45421</v>
      </c>
      <c r="N62" s="1" t="s">
        <v>33</v>
      </c>
      <c r="O62" s="1" t="s">
        <v>34</v>
      </c>
      <c r="P62" s="1" t="s">
        <v>35</v>
      </c>
      <c r="Q62" s="1">
        <v>0.35270000000000001</v>
      </c>
      <c r="R62" s="1" t="s">
        <v>235</v>
      </c>
      <c r="S62" s="1">
        <v>4</v>
      </c>
      <c r="T62" s="1">
        <v>3</v>
      </c>
      <c r="U62" s="1" t="s">
        <v>37</v>
      </c>
      <c r="V62" s="1" t="s">
        <v>37</v>
      </c>
      <c r="W62" s="1" t="s">
        <v>37</v>
      </c>
      <c r="X62" s="1">
        <v>10</v>
      </c>
      <c r="Y62" s="1" t="s">
        <v>37</v>
      </c>
      <c r="Z62" s="1" t="s">
        <v>37</v>
      </c>
      <c r="AA62" s="1" t="s">
        <v>38</v>
      </c>
    </row>
    <row r="63" spans="1:27" x14ac:dyDescent="0.3">
      <c r="A63" s="1">
        <v>62</v>
      </c>
      <c r="B63" s="1" t="s">
        <v>27</v>
      </c>
      <c r="C63" s="1" t="s">
        <v>269</v>
      </c>
      <c r="D63" s="1" t="s">
        <v>43</v>
      </c>
      <c r="E63" s="1" t="s">
        <v>239</v>
      </c>
      <c r="F63" s="1" t="s">
        <v>28</v>
      </c>
      <c r="G63" s="1" t="s">
        <v>240</v>
      </c>
      <c r="H63" s="1">
        <v>26</v>
      </c>
      <c r="I63" s="1" t="s">
        <v>46</v>
      </c>
      <c r="J63" s="1">
        <v>18000</v>
      </c>
      <c r="K63" s="1">
        <v>74495335</v>
      </c>
      <c r="L63" s="1">
        <v>45443</v>
      </c>
      <c r="M63" s="1">
        <v>45992</v>
      </c>
      <c r="N63" s="1" t="s">
        <v>33</v>
      </c>
      <c r="O63" s="1" t="s">
        <v>34</v>
      </c>
      <c r="P63" s="1" t="s">
        <v>35</v>
      </c>
      <c r="Q63" s="1">
        <v>0.2908</v>
      </c>
      <c r="R63" s="1" t="s">
        <v>241</v>
      </c>
      <c r="S63" s="1">
        <v>5</v>
      </c>
      <c r="T63" s="1">
        <v>3</v>
      </c>
      <c r="U63" s="1" t="s">
        <v>37</v>
      </c>
      <c r="V63" s="1" t="s">
        <v>37</v>
      </c>
      <c r="W63" s="1" t="s">
        <v>37</v>
      </c>
      <c r="X63" s="1">
        <v>5</v>
      </c>
      <c r="Y63" s="1" t="s">
        <v>37</v>
      </c>
      <c r="Z63" s="1" t="s">
        <v>37</v>
      </c>
      <c r="AA63" s="1" t="s">
        <v>38</v>
      </c>
    </row>
    <row r="64" spans="1:27" x14ac:dyDescent="0.3">
      <c r="A64" s="1">
        <v>63</v>
      </c>
      <c r="B64" s="1" t="s">
        <v>27</v>
      </c>
      <c r="C64" s="1" t="s">
        <v>269</v>
      </c>
      <c r="D64" s="1" t="s">
        <v>29</v>
      </c>
      <c r="E64" s="1" t="s">
        <v>262</v>
      </c>
      <c r="F64" s="1" t="s">
        <v>28</v>
      </c>
      <c r="G64" s="1" t="s">
        <v>436</v>
      </c>
      <c r="H64" s="1">
        <v>42</v>
      </c>
      <c r="I64" s="1" t="s">
        <v>32</v>
      </c>
      <c r="J64" s="1">
        <v>500</v>
      </c>
      <c r="K64" s="1">
        <v>43131818</v>
      </c>
      <c r="L64" s="1">
        <v>45457</v>
      </c>
      <c r="M64" s="1">
        <v>45640</v>
      </c>
      <c r="N64" s="1" t="s">
        <v>33</v>
      </c>
      <c r="O64" s="1" t="s">
        <v>34</v>
      </c>
      <c r="P64" s="1" t="s">
        <v>35</v>
      </c>
      <c r="Q64" s="1">
        <v>0.59179999999999999</v>
      </c>
      <c r="R64" s="1" t="s">
        <v>264</v>
      </c>
      <c r="S64" s="1">
        <v>6</v>
      </c>
      <c r="T64" s="1">
        <v>5</v>
      </c>
      <c r="U64" s="1" t="s">
        <v>37</v>
      </c>
      <c r="V64" s="1" t="s">
        <v>37</v>
      </c>
      <c r="W64" s="1" t="s">
        <v>37</v>
      </c>
      <c r="X64" s="1">
        <v>6</v>
      </c>
      <c r="Y64" s="1" t="s">
        <v>37</v>
      </c>
      <c r="Z64" s="1" t="s">
        <v>37</v>
      </c>
      <c r="AA64" s="1" t="s">
        <v>80</v>
      </c>
    </row>
    <row r="65" spans="1:27" x14ac:dyDescent="0.3">
      <c r="A65" s="1">
        <v>64</v>
      </c>
      <c r="B65" s="1" t="s">
        <v>27</v>
      </c>
      <c r="C65" s="1" t="s">
        <v>269</v>
      </c>
      <c r="D65" s="1" t="s">
        <v>43</v>
      </c>
      <c r="E65" s="1" t="s">
        <v>295</v>
      </c>
      <c r="F65" s="1" t="s">
        <v>28</v>
      </c>
      <c r="G65" s="1" t="s">
        <v>437</v>
      </c>
      <c r="J65" s="1">
        <v>2000</v>
      </c>
      <c r="K65" s="1">
        <v>78108111</v>
      </c>
      <c r="L65" s="1">
        <v>45460</v>
      </c>
      <c r="M65" s="1">
        <v>45825</v>
      </c>
      <c r="N65" s="1" t="s">
        <v>33</v>
      </c>
      <c r="O65" s="1" t="s">
        <v>34</v>
      </c>
      <c r="P65" s="1" t="s">
        <v>35</v>
      </c>
      <c r="R65" s="1" t="s">
        <v>296</v>
      </c>
      <c r="S65" s="1">
        <v>8</v>
      </c>
      <c r="T65" s="1">
        <v>5</v>
      </c>
      <c r="U65" s="1" t="s">
        <v>37</v>
      </c>
      <c r="V65" s="1" t="s">
        <v>37</v>
      </c>
      <c r="W65" s="1" t="s">
        <v>37</v>
      </c>
      <c r="X65" s="1">
        <v>20</v>
      </c>
      <c r="Y65" s="1" t="s">
        <v>37</v>
      </c>
      <c r="Z65" s="1" t="s">
        <v>37</v>
      </c>
      <c r="AA65" s="1" t="s">
        <v>80</v>
      </c>
    </row>
    <row r="66" spans="1:27" x14ac:dyDescent="0.3">
      <c r="A66" s="1">
        <v>65</v>
      </c>
      <c r="B66" s="1" t="s">
        <v>27</v>
      </c>
      <c r="C66" s="1" t="s">
        <v>269</v>
      </c>
      <c r="D66" s="1" t="s">
        <v>39</v>
      </c>
      <c r="E66" s="1" t="s">
        <v>267</v>
      </c>
      <c r="F66" s="1" t="s">
        <v>28</v>
      </c>
      <c r="G66" s="1" t="s">
        <v>266</v>
      </c>
      <c r="H66" s="1">
        <v>67</v>
      </c>
      <c r="I66" s="1" t="s">
        <v>46</v>
      </c>
      <c r="J66" s="1">
        <v>2000</v>
      </c>
      <c r="K66" s="1">
        <v>23972050</v>
      </c>
      <c r="L66" s="1">
        <v>45446</v>
      </c>
      <c r="M66" s="1">
        <v>45811</v>
      </c>
      <c r="N66" s="1" t="s">
        <v>33</v>
      </c>
      <c r="O66" s="1" t="s">
        <v>34</v>
      </c>
      <c r="P66" s="1" t="s">
        <v>35</v>
      </c>
      <c r="Q66" s="1">
        <v>0.52510000000000001</v>
      </c>
      <c r="R66" s="1" t="s">
        <v>268</v>
      </c>
      <c r="S66" s="1">
        <v>4</v>
      </c>
      <c r="T66" s="1">
        <v>3</v>
      </c>
      <c r="U66" s="1" t="s">
        <v>37</v>
      </c>
      <c r="V66" s="1" t="s">
        <v>37</v>
      </c>
      <c r="W66" s="1" t="s">
        <v>37</v>
      </c>
      <c r="X66" s="1">
        <v>20</v>
      </c>
      <c r="Y66" s="1" t="s">
        <v>37</v>
      </c>
      <c r="Z66" s="1" t="s">
        <v>37</v>
      </c>
      <c r="AA66" s="1" t="s">
        <v>38</v>
      </c>
    </row>
    <row r="67" spans="1:27" x14ac:dyDescent="0.3">
      <c r="A67" s="1">
        <v>66</v>
      </c>
      <c r="B67" s="1" t="s">
        <v>27</v>
      </c>
      <c r="C67" s="1" t="s">
        <v>269</v>
      </c>
      <c r="D67" s="1" t="s">
        <v>43</v>
      </c>
      <c r="E67" s="1" t="s">
        <v>270</v>
      </c>
      <c r="F67" s="1" t="s">
        <v>28</v>
      </c>
      <c r="G67" s="1" t="s">
        <v>271</v>
      </c>
      <c r="H67" s="1">
        <v>38</v>
      </c>
      <c r="I67" s="1" t="s">
        <v>46</v>
      </c>
      <c r="J67" s="1">
        <v>25000</v>
      </c>
      <c r="K67" s="1">
        <v>43853139</v>
      </c>
      <c r="L67" s="1">
        <v>45491</v>
      </c>
      <c r="M67" s="1">
        <v>46191</v>
      </c>
      <c r="N67" s="1" t="s">
        <v>33</v>
      </c>
      <c r="O67" s="1" t="s">
        <v>272</v>
      </c>
      <c r="P67" s="1" t="s">
        <v>35</v>
      </c>
      <c r="Q67" s="1">
        <v>0.2712</v>
      </c>
      <c r="R67" s="1" t="s">
        <v>273</v>
      </c>
      <c r="S67" s="1">
        <v>10</v>
      </c>
      <c r="T67" s="1">
        <v>5</v>
      </c>
      <c r="U67" s="1" t="s">
        <v>37</v>
      </c>
      <c r="V67" s="1" t="s">
        <v>37</v>
      </c>
      <c r="W67" s="1" t="s">
        <v>37</v>
      </c>
      <c r="X67" s="1">
        <v>8</v>
      </c>
      <c r="Y67" s="1" t="s">
        <v>37</v>
      </c>
      <c r="Z67" s="1" t="s">
        <v>37</v>
      </c>
      <c r="AA67" s="1" t="s">
        <v>38</v>
      </c>
    </row>
    <row r="68" spans="1:27" x14ac:dyDescent="0.3">
      <c r="A68" s="1">
        <v>67</v>
      </c>
      <c r="B68" s="1" t="s">
        <v>27</v>
      </c>
      <c r="C68" s="1" t="s">
        <v>269</v>
      </c>
      <c r="D68" s="1" t="s">
        <v>29</v>
      </c>
      <c r="E68" s="1" t="s">
        <v>270</v>
      </c>
      <c r="F68" s="1" t="s">
        <v>28</v>
      </c>
      <c r="G68" s="1" t="s">
        <v>274</v>
      </c>
      <c r="H68" s="1">
        <v>33</v>
      </c>
      <c r="I68" s="1" t="s">
        <v>46</v>
      </c>
      <c r="J68" s="1">
        <v>3000</v>
      </c>
      <c r="K68" s="1">
        <v>47496076</v>
      </c>
      <c r="L68" s="1">
        <v>45456</v>
      </c>
      <c r="M68" s="1">
        <v>45823</v>
      </c>
      <c r="N68" s="1" t="s">
        <v>33</v>
      </c>
      <c r="O68" s="1" t="s">
        <v>34</v>
      </c>
      <c r="P68" s="1" t="s">
        <v>35</v>
      </c>
      <c r="Q68" s="1">
        <v>0.40010000000000001</v>
      </c>
      <c r="R68" s="1" t="s">
        <v>275</v>
      </c>
      <c r="S68" s="1">
        <v>6</v>
      </c>
      <c r="T68" s="1">
        <v>5</v>
      </c>
      <c r="U68" s="1" t="s">
        <v>37</v>
      </c>
      <c r="V68" s="1" t="s">
        <v>37</v>
      </c>
      <c r="W68" s="1" t="s">
        <v>37</v>
      </c>
      <c r="X68" s="1">
        <v>5</v>
      </c>
      <c r="Y68" s="1" t="s">
        <v>37</v>
      </c>
      <c r="Z68" s="1" t="s">
        <v>37</v>
      </c>
      <c r="AA68" s="1" t="s">
        <v>80</v>
      </c>
    </row>
    <row r="69" spans="1:27" x14ac:dyDescent="0.3">
      <c r="A69" s="1">
        <v>68</v>
      </c>
      <c r="B69" s="1" t="s">
        <v>27</v>
      </c>
      <c r="C69" s="1" t="s">
        <v>269</v>
      </c>
      <c r="D69" s="1" t="s">
        <v>43</v>
      </c>
      <c r="E69" s="1" t="s">
        <v>277</v>
      </c>
      <c r="F69" s="1" t="s">
        <v>28</v>
      </c>
      <c r="G69" s="1" t="s">
        <v>276</v>
      </c>
      <c r="H69" s="1">
        <v>21</v>
      </c>
      <c r="I69" s="1" t="s">
        <v>32</v>
      </c>
      <c r="J69" s="1">
        <v>5000</v>
      </c>
      <c r="K69" s="1">
        <v>73423080</v>
      </c>
      <c r="L69" s="1">
        <v>45460</v>
      </c>
      <c r="M69" s="1">
        <v>45820</v>
      </c>
      <c r="N69" s="1" t="s">
        <v>33</v>
      </c>
      <c r="O69" s="1" t="s">
        <v>278</v>
      </c>
      <c r="P69" s="1" t="s">
        <v>35</v>
      </c>
      <c r="Q69" s="1">
        <v>0.33229999999999998</v>
      </c>
      <c r="R69" s="1" t="s">
        <v>279</v>
      </c>
      <c r="S69" s="1">
        <v>8</v>
      </c>
      <c r="T69" s="1">
        <v>6</v>
      </c>
      <c r="U69" s="1" t="s">
        <v>37</v>
      </c>
      <c r="V69" s="1" t="s">
        <v>37</v>
      </c>
      <c r="W69" s="1" t="s">
        <v>37</v>
      </c>
      <c r="X69" s="1">
        <v>2</v>
      </c>
      <c r="Y69" s="1" t="s">
        <v>37</v>
      </c>
      <c r="Z69" s="1" t="s">
        <v>37</v>
      </c>
      <c r="AA69" s="1" t="s">
        <v>80</v>
      </c>
    </row>
    <row r="70" spans="1:27" x14ac:dyDescent="0.3">
      <c r="A70" s="1">
        <v>69</v>
      </c>
      <c r="B70" s="1" t="s">
        <v>27</v>
      </c>
      <c r="C70" s="1" t="s">
        <v>269</v>
      </c>
      <c r="D70" s="1" t="s">
        <v>43</v>
      </c>
      <c r="E70" s="1" t="s">
        <v>281</v>
      </c>
      <c r="F70" s="1" t="s">
        <v>28</v>
      </c>
      <c r="G70" s="1" t="s">
        <v>280</v>
      </c>
      <c r="H70" s="1">
        <v>71</v>
      </c>
      <c r="I70" s="1" t="s">
        <v>32</v>
      </c>
      <c r="J70" s="1">
        <v>20000</v>
      </c>
      <c r="K70" s="1">
        <v>24983118</v>
      </c>
      <c r="L70" s="1">
        <v>45463</v>
      </c>
      <c r="M70" s="1">
        <v>45823</v>
      </c>
      <c r="N70" s="1" t="s">
        <v>33</v>
      </c>
      <c r="O70" s="1" t="s">
        <v>34</v>
      </c>
      <c r="P70" s="1" t="s">
        <v>35</v>
      </c>
      <c r="Q70" s="1">
        <v>0.2802</v>
      </c>
      <c r="R70" s="1" t="s">
        <v>282</v>
      </c>
      <c r="S70" s="1">
        <v>7</v>
      </c>
      <c r="T70" s="1">
        <v>3</v>
      </c>
      <c r="U70" s="1" t="s">
        <v>37</v>
      </c>
      <c r="V70" s="1" t="s">
        <v>37</v>
      </c>
      <c r="W70" s="1" t="s">
        <v>37</v>
      </c>
      <c r="X70" s="1">
        <v>40</v>
      </c>
      <c r="Y70" s="1" t="s">
        <v>37</v>
      </c>
      <c r="Z70" s="1" t="s">
        <v>37</v>
      </c>
      <c r="AA70" s="1" t="s">
        <v>38</v>
      </c>
    </row>
    <row r="71" spans="1:27" x14ac:dyDescent="0.3">
      <c r="A71" s="1">
        <v>70</v>
      </c>
      <c r="B71" s="1" t="s">
        <v>27</v>
      </c>
      <c r="C71" s="1" t="s">
        <v>269</v>
      </c>
      <c r="D71" s="1" t="s">
        <v>29</v>
      </c>
      <c r="E71" s="1" t="s">
        <v>297</v>
      </c>
      <c r="F71" s="1" t="s">
        <v>28</v>
      </c>
      <c r="G71" s="1" t="s">
        <v>283</v>
      </c>
      <c r="H71" s="1">
        <v>46</v>
      </c>
      <c r="I71" s="1" t="s">
        <v>46</v>
      </c>
      <c r="J71" s="1">
        <v>15000</v>
      </c>
      <c r="K71" s="1">
        <v>40274394</v>
      </c>
      <c r="L71" s="1">
        <v>45460</v>
      </c>
      <c r="M71" s="1">
        <v>46008</v>
      </c>
      <c r="N71" s="1" t="s">
        <v>33</v>
      </c>
      <c r="O71" s="1" t="s">
        <v>34</v>
      </c>
      <c r="P71" s="1" t="s">
        <v>35</v>
      </c>
      <c r="Q71" s="1">
        <v>0.42409999999999998</v>
      </c>
      <c r="R71" s="1" t="s">
        <v>284</v>
      </c>
      <c r="S71" s="1">
        <v>4</v>
      </c>
      <c r="T71" s="1">
        <v>4</v>
      </c>
      <c r="U71" s="1" t="s">
        <v>37</v>
      </c>
      <c r="V71" s="1" t="s">
        <v>37</v>
      </c>
      <c r="W71" s="1" t="s">
        <v>37</v>
      </c>
      <c r="X71" s="1">
        <v>15</v>
      </c>
      <c r="Y71" s="1" t="s">
        <v>37</v>
      </c>
      <c r="Z71" s="1" t="s">
        <v>37</v>
      </c>
      <c r="AA71" s="1" t="s">
        <v>38</v>
      </c>
    </row>
    <row r="72" spans="1:27" x14ac:dyDescent="0.3">
      <c r="A72" s="1">
        <v>71</v>
      </c>
      <c r="B72" s="1" t="s">
        <v>27</v>
      </c>
      <c r="C72" s="1" t="s">
        <v>269</v>
      </c>
      <c r="D72" s="1" t="s">
        <v>29</v>
      </c>
      <c r="E72" s="1" t="s">
        <v>298</v>
      </c>
      <c r="F72" s="1" t="s">
        <v>28</v>
      </c>
      <c r="G72" s="1" t="s">
        <v>285</v>
      </c>
      <c r="H72" s="1">
        <v>58</v>
      </c>
      <c r="I72" s="1" t="s">
        <v>46</v>
      </c>
      <c r="J72" s="1">
        <v>20000</v>
      </c>
      <c r="K72" s="1">
        <v>25060013</v>
      </c>
      <c r="L72" s="1">
        <v>45468</v>
      </c>
      <c r="M72" s="1">
        <v>46199</v>
      </c>
      <c r="N72" s="1" t="s">
        <v>33</v>
      </c>
      <c r="O72" s="1" t="s">
        <v>34</v>
      </c>
      <c r="P72" s="1" t="s">
        <v>35</v>
      </c>
      <c r="Q72" s="1">
        <v>0.39119999999999999</v>
      </c>
      <c r="R72" s="1" t="s">
        <v>286</v>
      </c>
      <c r="S72" s="1">
        <v>9</v>
      </c>
      <c r="T72" s="1">
        <v>6</v>
      </c>
      <c r="U72" s="1" t="s">
        <v>37</v>
      </c>
      <c r="V72" s="1" t="s">
        <v>37</v>
      </c>
      <c r="W72" s="1" t="s">
        <v>37</v>
      </c>
      <c r="X72" s="1">
        <v>20</v>
      </c>
      <c r="Y72" s="1" t="s">
        <v>37</v>
      </c>
      <c r="Z72" s="1" t="s">
        <v>37</v>
      </c>
      <c r="AA72" s="1" t="s">
        <v>38</v>
      </c>
    </row>
    <row r="73" spans="1:27" x14ac:dyDescent="0.3">
      <c r="A73" s="1">
        <v>72</v>
      </c>
      <c r="B73" s="1" t="s">
        <v>27</v>
      </c>
      <c r="C73" s="1" t="s">
        <v>269</v>
      </c>
      <c r="D73" s="1" t="s">
        <v>29</v>
      </c>
      <c r="E73" s="1" t="s">
        <v>30</v>
      </c>
      <c r="F73" s="1" t="s">
        <v>28</v>
      </c>
      <c r="G73" s="1" t="s">
        <v>31</v>
      </c>
      <c r="H73" s="1">
        <v>51</v>
      </c>
      <c r="I73" s="1" t="s">
        <v>32</v>
      </c>
      <c r="J73" s="1">
        <v>5000</v>
      </c>
      <c r="K73" s="1">
        <v>24993979</v>
      </c>
      <c r="L73" s="1">
        <v>45467</v>
      </c>
      <c r="M73" s="1">
        <v>45827</v>
      </c>
      <c r="N73" s="1" t="s">
        <v>33</v>
      </c>
      <c r="O73" s="1" t="s">
        <v>34</v>
      </c>
      <c r="P73" s="1" t="s">
        <v>35</v>
      </c>
      <c r="Q73" s="1">
        <v>0.33229999999999998</v>
      </c>
      <c r="R73" s="1" t="s">
        <v>287</v>
      </c>
      <c r="S73" s="1">
        <v>7</v>
      </c>
      <c r="T73" s="1">
        <v>5</v>
      </c>
      <c r="U73" s="1" t="s">
        <v>37</v>
      </c>
      <c r="V73" s="1" t="s">
        <v>37</v>
      </c>
      <c r="W73" s="1" t="s">
        <v>37</v>
      </c>
      <c r="X73" s="1">
        <v>20</v>
      </c>
      <c r="Y73" s="1" t="s">
        <v>37</v>
      </c>
      <c r="Z73" s="1" t="s">
        <v>37</v>
      </c>
      <c r="AA73" s="1" t="s">
        <v>38</v>
      </c>
    </row>
    <row r="74" spans="1:27" x14ac:dyDescent="0.3">
      <c r="A74" s="1">
        <v>73</v>
      </c>
      <c r="B74" s="1" t="s">
        <v>27</v>
      </c>
      <c r="C74" s="1" t="s">
        <v>269</v>
      </c>
      <c r="D74" s="1" t="s">
        <v>29</v>
      </c>
      <c r="E74" s="1" t="s">
        <v>289</v>
      </c>
      <c r="F74" s="1" t="s">
        <v>28</v>
      </c>
      <c r="G74" s="1" t="s">
        <v>288</v>
      </c>
      <c r="H74" s="1">
        <v>68</v>
      </c>
      <c r="I74" s="1" t="s">
        <v>46</v>
      </c>
      <c r="J74" s="1">
        <v>35000</v>
      </c>
      <c r="K74" s="1">
        <v>23953459</v>
      </c>
      <c r="L74" s="1">
        <v>45467</v>
      </c>
      <c r="M74" s="1">
        <v>46197</v>
      </c>
      <c r="N74" s="1" t="s">
        <v>33</v>
      </c>
      <c r="O74" s="1" t="s">
        <v>34</v>
      </c>
      <c r="P74" s="1" t="s">
        <v>35</v>
      </c>
      <c r="Q74" s="1">
        <v>0.246</v>
      </c>
      <c r="R74" s="1" t="s">
        <v>290</v>
      </c>
      <c r="S74" s="1">
        <v>6</v>
      </c>
      <c r="T74" s="1">
        <v>3</v>
      </c>
      <c r="U74" s="1" t="s">
        <v>37</v>
      </c>
      <c r="V74" s="1" t="s">
        <v>37</v>
      </c>
      <c r="W74" s="1" t="s">
        <v>37</v>
      </c>
      <c r="X74" s="1">
        <v>20</v>
      </c>
      <c r="Y74" s="1" t="s">
        <v>37</v>
      </c>
      <c r="Z74" s="1" t="s">
        <v>37</v>
      </c>
      <c r="AA74" s="1" t="s">
        <v>38</v>
      </c>
    </row>
    <row r="75" spans="1:27" x14ac:dyDescent="0.3">
      <c r="A75" s="1">
        <v>74</v>
      </c>
      <c r="B75" s="1" t="s">
        <v>27</v>
      </c>
      <c r="C75" s="1" t="s">
        <v>269</v>
      </c>
      <c r="D75" s="1" t="s">
        <v>299</v>
      </c>
      <c r="E75" s="1" t="s">
        <v>300</v>
      </c>
      <c r="F75" s="1" t="s">
        <v>28</v>
      </c>
      <c r="G75" s="1" t="s">
        <v>291</v>
      </c>
      <c r="H75" s="1">
        <v>37</v>
      </c>
      <c r="I75" s="1" t="s">
        <v>46</v>
      </c>
      <c r="J75" s="1">
        <v>500</v>
      </c>
      <c r="K75" s="1">
        <v>44626357</v>
      </c>
      <c r="L75" s="1">
        <v>45464</v>
      </c>
      <c r="M75" s="1">
        <v>45650</v>
      </c>
      <c r="N75" s="1" t="s">
        <v>33</v>
      </c>
      <c r="O75" s="1" t="s">
        <v>34</v>
      </c>
      <c r="P75" s="1" t="s">
        <v>35</v>
      </c>
      <c r="Q75" s="1">
        <v>0.52159999999999995</v>
      </c>
      <c r="R75" s="1" t="s">
        <v>301</v>
      </c>
      <c r="S75" s="1">
        <v>7</v>
      </c>
      <c r="T75" s="1">
        <v>5</v>
      </c>
      <c r="U75" s="1" t="s">
        <v>37</v>
      </c>
      <c r="V75" s="1" t="s">
        <v>37</v>
      </c>
      <c r="W75" s="1" t="s">
        <v>37</v>
      </c>
      <c r="X75" s="1">
        <v>20</v>
      </c>
      <c r="Y75" s="1" t="s">
        <v>37</v>
      </c>
      <c r="Z75" s="1" t="s">
        <v>37</v>
      </c>
      <c r="AA75" s="1" t="s">
        <v>80</v>
      </c>
    </row>
    <row r="76" spans="1:27" x14ac:dyDescent="0.3">
      <c r="A76" s="1">
        <v>75</v>
      </c>
      <c r="B76" s="1" t="s">
        <v>27</v>
      </c>
      <c r="C76" s="1" t="s">
        <v>269</v>
      </c>
      <c r="D76" s="1" t="s">
        <v>29</v>
      </c>
      <c r="E76" s="1" t="s">
        <v>293</v>
      </c>
      <c r="F76" s="1" t="s">
        <v>28</v>
      </c>
      <c r="G76" s="1" t="s">
        <v>292</v>
      </c>
      <c r="H76" s="1">
        <v>55</v>
      </c>
      <c r="I76" s="1" t="s">
        <v>46</v>
      </c>
      <c r="J76" s="1">
        <v>13000</v>
      </c>
      <c r="K76" s="1">
        <v>41259693</v>
      </c>
      <c r="L76" s="1">
        <v>45457</v>
      </c>
      <c r="M76" s="1">
        <v>45460</v>
      </c>
      <c r="N76" s="1" t="s">
        <v>33</v>
      </c>
      <c r="O76" s="1" t="s">
        <v>34</v>
      </c>
      <c r="P76" s="1" t="s">
        <v>35</v>
      </c>
      <c r="Q76" s="1">
        <v>0.42409999999999998</v>
      </c>
      <c r="R76" s="1" t="s">
        <v>294</v>
      </c>
      <c r="S76" s="1">
        <v>4</v>
      </c>
      <c r="T76" s="1">
        <v>3</v>
      </c>
      <c r="U76" s="1" t="s">
        <v>37</v>
      </c>
      <c r="V76" s="1" t="s">
        <v>37</v>
      </c>
      <c r="W76" s="1" t="s">
        <v>37</v>
      </c>
      <c r="X76" s="1">
        <v>15</v>
      </c>
      <c r="Y76" s="1" t="s">
        <v>37</v>
      </c>
      <c r="Z76" s="1" t="s">
        <v>37</v>
      </c>
      <c r="AA76" s="1" t="s">
        <v>38</v>
      </c>
    </row>
    <row r="77" spans="1:27" x14ac:dyDescent="0.3">
      <c r="A77" s="1">
        <v>76</v>
      </c>
      <c r="B77" s="1" t="s">
        <v>27</v>
      </c>
      <c r="C77" s="1" t="s">
        <v>269</v>
      </c>
      <c r="D77" s="1" t="s">
        <v>29</v>
      </c>
      <c r="E77" s="1" t="s">
        <v>302</v>
      </c>
      <c r="F77" s="1" t="s">
        <v>28</v>
      </c>
      <c r="G77" s="1" t="s">
        <v>303</v>
      </c>
      <c r="H77" s="1">
        <v>63</v>
      </c>
      <c r="I77" s="1" t="s">
        <v>46</v>
      </c>
      <c r="J77" s="1">
        <v>13000</v>
      </c>
      <c r="K77" s="1">
        <v>24940102</v>
      </c>
      <c r="L77" s="1">
        <v>45523</v>
      </c>
      <c r="M77" s="1" t="s">
        <v>304</v>
      </c>
      <c r="N77" s="1" t="s">
        <v>305</v>
      </c>
      <c r="O77" s="1" t="s">
        <v>306</v>
      </c>
      <c r="P77" s="1" t="s">
        <v>307</v>
      </c>
      <c r="Q77" s="1">
        <v>0.42530000000000001</v>
      </c>
      <c r="R77" s="1" t="s">
        <v>308</v>
      </c>
      <c r="S77" s="1">
        <v>3</v>
      </c>
      <c r="T77" s="1">
        <v>2</v>
      </c>
      <c r="U77" s="1" t="s">
        <v>37</v>
      </c>
      <c r="V77" s="1" t="s">
        <v>37</v>
      </c>
      <c r="W77" s="1" t="s">
        <v>37</v>
      </c>
      <c r="X77" s="1">
        <v>10</v>
      </c>
      <c r="Y77" s="1" t="s">
        <v>37</v>
      </c>
      <c r="Z77" s="1" t="s">
        <v>37</v>
      </c>
      <c r="AA77" s="1" t="s">
        <v>309</v>
      </c>
    </row>
    <row r="78" spans="1:27" x14ac:dyDescent="0.3">
      <c r="A78" s="1">
        <v>77</v>
      </c>
      <c r="B78" s="1" t="s">
        <v>27</v>
      </c>
      <c r="C78" s="1" t="s">
        <v>269</v>
      </c>
      <c r="D78" s="1" t="s">
        <v>142</v>
      </c>
      <c r="E78" s="1" t="s">
        <v>142</v>
      </c>
      <c r="F78" s="1" t="s">
        <v>28</v>
      </c>
      <c r="G78" s="1" t="s">
        <v>310</v>
      </c>
      <c r="H78" s="1">
        <v>44</v>
      </c>
      <c r="I78" s="1" t="s">
        <v>32</v>
      </c>
      <c r="J78" s="1">
        <v>10000</v>
      </c>
      <c r="K78" s="1">
        <v>44471923</v>
      </c>
      <c r="L78" s="1">
        <v>45526</v>
      </c>
      <c r="M78" s="1" t="s">
        <v>311</v>
      </c>
      <c r="N78" s="1" t="s">
        <v>305</v>
      </c>
      <c r="O78" s="1" t="s">
        <v>306</v>
      </c>
      <c r="P78" s="1" t="s">
        <v>307</v>
      </c>
      <c r="Q78" s="1">
        <v>0.39279999999999998</v>
      </c>
      <c r="R78" s="1" t="s">
        <v>312</v>
      </c>
      <c r="S78" s="1">
        <v>4</v>
      </c>
      <c r="T78" s="1">
        <v>2</v>
      </c>
      <c r="U78" s="1" t="s">
        <v>37</v>
      </c>
      <c r="V78" s="1" t="s">
        <v>37</v>
      </c>
      <c r="W78" s="1" t="s">
        <v>37</v>
      </c>
      <c r="X78" s="1">
        <v>12</v>
      </c>
      <c r="Y78" s="1" t="s">
        <v>37</v>
      </c>
      <c r="Z78" s="1" t="s">
        <v>37</v>
      </c>
      <c r="AA78" s="1" t="s">
        <v>309</v>
      </c>
    </row>
    <row r="79" spans="1:27" x14ac:dyDescent="0.3">
      <c r="A79" s="1">
        <v>78</v>
      </c>
      <c r="B79" s="1" t="s">
        <v>27</v>
      </c>
      <c r="C79" s="1" t="s">
        <v>269</v>
      </c>
      <c r="D79" s="1" t="s">
        <v>29</v>
      </c>
      <c r="E79" s="1" t="s">
        <v>313</v>
      </c>
      <c r="F79" s="1" t="s">
        <v>28</v>
      </c>
      <c r="G79" s="1" t="s">
        <v>314</v>
      </c>
      <c r="H79" s="1">
        <v>56</v>
      </c>
      <c r="I79" s="1" t="s">
        <v>32</v>
      </c>
      <c r="J79" s="1">
        <v>10000</v>
      </c>
      <c r="K79" s="1">
        <v>24993083</v>
      </c>
      <c r="L79" s="1">
        <v>45524</v>
      </c>
      <c r="M79" s="1" t="s">
        <v>315</v>
      </c>
      <c r="N79" s="1" t="s">
        <v>305</v>
      </c>
      <c r="O79" s="1" t="s">
        <v>316</v>
      </c>
      <c r="P79" s="1" t="s">
        <v>307</v>
      </c>
      <c r="Q79" s="1">
        <v>0.32919999999999999</v>
      </c>
      <c r="R79" s="1" t="s">
        <v>317</v>
      </c>
      <c r="S79" s="1">
        <v>10</v>
      </c>
      <c r="T79" s="1">
        <v>3</v>
      </c>
      <c r="U79" s="1" t="s">
        <v>37</v>
      </c>
      <c r="V79" s="1" t="s">
        <v>37</v>
      </c>
      <c r="W79" s="1" t="s">
        <v>37</v>
      </c>
      <c r="X79" s="1">
        <v>20</v>
      </c>
      <c r="Y79" s="1" t="s">
        <v>37</v>
      </c>
      <c r="Z79" s="1" t="s">
        <v>37</v>
      </c>
      <c r="AA79" s="1" t="s">
        <v>309</v>
      </c>
    </row>
    <row r="80" spans="1:27" x14ac:dyDescent="0.3">
      <c r="A80" s="1">
        <v>79</v>
      </c>
      <c r="B80" s="1" t="s">
        <v>27</v>
      </c>
      <c r="C80" s="1" t="s">
        <v>269</v>
      </c>
      <c r="D80" s="1" t="s">
        <v>29</v>
      </c>
      <c r="E80" s="1" t="s">
        <v>318</v>
      </c>
      <c r="F80" s="1" t="s">
        <v>28</v>
      </c>
      <c r="G80" s="1" t="s">
        <v>319</v>
      </c>
      <c r="H80" s="1">
        <v>32</v>
      </c>
      <c r="I80" s="1" t="s">
        <v>32</v>
      </c>
      <c r="J80" s="1">
        <v>5000</v>
      </c>
      <c r="K80" s="1">
        <v>47755054</v>
      </c>
      <c r="L80" s="1">
        <v>45519</v>
      </c>
      <c r="M80" s="1" t="s">
        <v>315</v>
      </c>
      <c r="N80" s="1" t="s">
        <v>305</v>
      </c>
      <c r="O80" s="1" t="s">
        <v>316</v>
      </c>
      <c r="P80" s="1" t="s">
        <v>307</v>
      </c>
      <c r="Q80" s="1">
        <v>0.33229999999999998</v>
      </c>
      <c r="R80" s="1" t="s">
        <v>320</v>
      </c>
      <c r="S80" s="1">
        <v>6</v>
      </c>
      <c r="T80" s="1">
        <v>3</v>
      </c>
      <c r="U80" s="1" t="s">
        <v>37</v>
      </c>
      <c r="V80" s="1" t="s">
        <v>37</v>
      </c>
      <c r="W80" s="1" t="s">
        <v>37</v>
      </c>
      <c r="X80" s="1">
        <v>10</v>
      </c>
      <c r="Y80" s="1" t="s">
        <v>37</v>
      </c>
      <c r="Z80" s="1" t="s">
        <v>37</v>
      </c>
      <c r="AA80" s="1" t="s">
        <v>321</v>
      </c>
    </row>
    <row r="81" spans="1:27" x14ac:dyDescent="0.3">
      <c r="A81" s="1">
        <v>80</v>
      </c>
      <c r="B81" s="1" t="s">
        <v>27</v>
      </c>
      <c r="C81" s="1" t="s">
        <v>246</v>
      </c>
      <c r="D81" s="1" t="s">
        <v>432</v>
      </c>
      <c r="E81" s="1" t="s">
        <v>322</v>
      </c>
      <c r="F81" s="1" t="s">
        <v>94</v>
      </c>
      <c r="G81" s="1" t="s">
        <v>323</v>
      </c>
      <c r="H81" s="1">
        <v>49</v>
      </c>
      <c r="I81" s="1" t="s">
        <v>46</v>
      </c>
      <c r="J81" s="1">
        <v>50000</v>
      </c>
      <c r="K81" s="1">
        <v>24489991</v>
      </c>
      <c r="L81" s="1">
        <v>45524</v>
      </c>
      <c r="M81" s="1" t="s">
        <v>324</v>
      </c>
      <c r="N81" s="1" t="s">
        <v>325</v>
      </c>
      <c r="O81" s="1" t="s">
        <v>316</v>
      </c>
      <c r="P81" s="1" t="s">
        <v>307</v>
      </c>
      <c r="Q81" s="1">
        <v>0.28320000000000001</v>
      </c>
      <c r="R81" s="1" t="s">
        <v>326</v>
      </c>
      <c r="S81" s="1">
        <v>7</v>
      </c>
      <c r="T81" s="1">
        <v>4</v>
      </c>
      <c r="U81" s="1" t="s">
        <v>37</v>
      </c>
      <c r="V81" s="1" t="s">
        <v>37</v>
      </c>
      <c r="W81" s="1" t="s">
        <v>37</v>
      </c>
      <c r="X81" s="1">
        <v>20</v>
      </c>
      <c r="Y81" s="1" t="s">
        <v>37</v>
      </c>
      <c r="Z81" s="1" t="s">
        <v>37</v>
      </c>
      <c r="AA81" s="1" t="s">
        <v>309</v>
      </c>
    </row>
    <row r="82" spans="1:27" x14ac:dyDescent="0.3">
      <c r="A82" s="1">
        <v>81</v>
      </c>
      <c r="B82" s="1" t="s">
        <v>27</v>
      </c>
      <c r="C82" s="1" t="s">
        <v>269</v>
      </c>
      <c r="D82" s="1" t="s">
        <v>29</v>
      </c>
      <c r="E82" s="1" t="s">
        <v>327</v>
      </c>
      <c r="F82" s="1" t="s">
        <v>58</v>
      </c>
      <c r="G82" s="1" t="s">
        <v>328</v>
      </c>
      <c r="H82" s="1">
        <v>65</v>
      </c>
      <c r="I82" s="1" t="s">
        <v>32</v>
      </c>
      <c r="J82" s="1">
        <v>5000</v>
      </c>
      <c r="K82" s="1">
        <v>24955893</v>
      </c>
      <c r="L82" s="1">
        <v>45544</v>
      </c>
      <c r="M82" s="1" t="s">
        <v>311</v>
      </c>
      <c r="N82" s="1" t="s">
        <v>325</v>
      </c>
      <c r="O82" s="1" t="s">
        <v>316</v>
      </c>
      <c r="P82" s="1" t="s">
        <v>307</v>
      </c>
      <c r="Q82" s="1">
        <v>0.40920000000000001</v>
      </c>
      <c r="R82" s="1" t="s">
        <v>329</v>
      </c>
      <c r="S82" s="1">
        <v>10</v>
      </c>
      <c r="T82" s="1">
        <v>4</v>
      </c>
      <c r="U82" s="1" t="s">
        <v>37</v>
      </c>
      <c r="V82" s="1" t="s">
        <v>37</v>
      </c>
      <c r="W82" s="1" t="s">
        <v>37</v>
      </c>
      <c r="X82" s="1">
        <v>25</v>
      </c>
      <c r="Y82" s="1" t="s">
        <v>37</v>
      </c>
      <c r="Z82" s="1" t="s">
        <v>37</v>
      </c>
      <c r="AA82" s="1" t="s">
        <v>309</v>
      </c>
    </row>
    <row r="83" spans="1:27" x14ac:dyDescent="0.3">
      <c r="A83" s="1">
        <v>82</v>
      </c>
      <c r="B83" s="1" t="s">
        <v>27</v>
      </c>
      <c r="C83" s="1" t="s">
        <v>269</v>
      </c>
      <c r="D83" s="1" t="s">
        <v>29</v>
      </c>
      <c r="E83" s="1" t="s">
        <v>327</v>
      </c>
      <c r="F83" s="1" t="s">
        <v>58</v>
      </c>
      <c r="G83" s="1" t="s">
        <v>330</v>
      </c>
      <c r="H83" s="1">
        <v>35</v>
      </c>
      <c r="I83" s="1" t="s">
        <v>32</v>
      </c>
      <c r="J83" s="1">
        <v>5000</v>
      </c>
      <c r="K83" s="1">
        <v>46140829</v>
      </c>
      <c r="L83" s="1">
        <v>45548</v>
      </c>
      <c r="M83" s="1" t="s">
        <v>315</v>
      </c>
      <c r="N83" s="1" t="s">
        <v>305</v>
      </c>
      <c r="O83" s="1" t="s">
        <v>316</v>
      </c>
      <c r="P83" s="1" t="s">
        <v>307</v>
      </c>
      <c r="Q83" s="1">
        <v>0.39279999999999998</v>
      </c>
      <c r="R83" s="1" t="s">
        <v>331</v>
      </c>
      <c r="S83" s="1">
        <v>8</v>
      </c>
      <c r="T83" s="1">
        <v>5</v>
      </c>
      <c r="U83" s="1" t="s">
        <v>37</v>
      </c>
      <c r="V83" s="1" t="s">
        <v>37</v>
      </c>
      <c r="W83" s="1" t="s">
        <v>37</v>
      </c>
      <c r="X83" s="1">
        <v>15</v>
      </c>
      <c r="Y83" s="1" t="s">
        <v>37</v>
      </c>
      <c r="Z83" s="1" t="s">
        <v>37</v>
      </c>
      <c r="AA83" s="1" t="s">
        <v>309</v>
      </c>
    </row>
    <row r="84" spans="1:27" x14ac:dyDescent="0.3">
      <c r="A84" s="1">
        <v>83</v>
      </c>
      <c r="B84" s="1" t="s">
        <v>27</v>
      </c>
      <c r="C84" s="1" t="s">
        <v>269</v>
      </c>
      <c r="D84" s="1" t="s">
        <v>29</v>
      </c>
      <c r="E84" s="1" t="s">
        <v>332</v>
      </c>
      <c r="F84" s="1" t="s">
        <v>28</v>
      </c>
      <c r="G84" s="1" t="s">
        <v>333</v>
      </c>
      <c r="H84" s="1">
        <v>71</v>
      </c>
      <c r="I84" s="1" t="s">
        <v>32</v>
      </c>
      <c r="J84" s="1">
        <v>50000</v>
      </c>
      <c r="K84" s="1">
        <v>24983118</v>
      </c>
      <c r="L84" s="1">
        <v>45562</v>
      </c>
      <c r="M84" s="1" t="s">
        <v>334</v>
      </c>
      <c r="N84" s="1" t="s">
        <v>325</v>
      </c>
      <c r="O84" s="1" t="s">
        <v>316</v>
      </c>
      <c r="P84" s="1" t="s">
        <v>307</v>
      </c>
      <c r="Q84" s="1">
        <v>0.2984</v>
      </c>
      <c r="R84" s="1" t="s">
        <v>335</v>
      </c>
      <c r="S84" s="1">
        <v>5</v>
      </c>
      <c r="T84" s="1">
        <v>7</v>
      </c>
      <c r="U84" s="1" t="s">
        <v>37</v>
      </c>
      <c r="V84" s="1" t="s">
        <v>37</v>
      </c>
      <c r="W84" s="1" t="s">
        <v>37</v>
      </c>
      <c r="X84" s="1">
        <v>20</v>
      </c>
      <c r="Y84" s="1" t="s">
        <v>37</v>
      </c>
      <c r="Z84" s="1" t="s">
        <v>37</v>
      </c>
      <c r="AA84" s="1" t="s">
        <v>309</v>
      </c>
    </row>
    <row r="85" spans="1:27" x14ac:dyDescent="0.3">
      <c r="A85" s="1">
        <v>84</v>
      </c>
      <c r="B85" s="1" t="s">
        <v>27</v>
      </c>
      <c r="C85" s="1" t="s">
        <v>269</v>
      </c>
      <c r="D85" s="1" t="s">
        <v>39</v>
      </c>
      <c r="E85" s="1" t="s">
        <v>336</v>
      </c>
      <c r="F85" s="1" t="s">
        <v>28</v>
      </c>
      <c r="G85" s="1" t="s">
        <v>337</v>
      </c>
      <c r="H85" s="1">
        <v>33</v>
      </c>
      <c r="I85" s="1" t="s">
        <v>32</v>
      </c>
      <c r="J85" s="1">
        <v>20000</v>
      </c>
      <c r="K85" s="1">
        <v>70554844</v>
      </c>
      <c r="L85" s="1">
        <v>45556</v>
      </c>
      <c r="M85" s="1" t="s">
        <v>334</v>
      </c>
      <c r="N85" s="1" t="s">
        <v>325</v>
      </c>
      <c r="O85" s="1" t="s">
        <v>316</v>
      </c>
      <c r="P85" s="1" t="s">
        <v>307</v>
      </c>
      <c r="Q85" s="1">
        <v>0.29530000000000001</v>
      </c>
      <c r="R85" s="1" t="s">
        <v>338</v>
      </c>
      <c r="S85" s="1">
        <v>5</v>
      </c>
      <c r="T85" s="1">
        <v>4</v>
      </c>
      <c r="U85" s="1" t="s">
        <v>37</v>
      </c>
      <c r="V85" s="1" t="s">
        <v>37</v>
      </c>
      <c r="W85" s="1" t="s">
        <v>37</v>
      </c>
      <c r="X85" s="1">
        <v>10</v>
      </c>
      <c r="Y85" s="1" t="s">
        <v>37</v>
      </c>
      <c r="Z85" s="1" t="s">
        <v>37</v>
      </c>
      <c r="AA85" s="1" t="s">
        <v>321</v>
      </c>
    </row>
    <row r="86" spans="1:27" x14ac:dyDescent="0.3">
      <c r="A86" s="1">
        <v>85</v>
      </c>
      <c r="B86" s="1" t="s">
        <v>27</v>
      </c>
      <c r="C86" s="1" t="s">
        <v>269</v>
      </c>
      <c r="D86" s="1" t="s">
        <v>58</v>
      </c>
      <c r="E86" s="1" t="s">
        <v>339</v>
      </c>
      <c r="F86" s="1" t="s">
        <v>58</v>
      </c>
      <c r="G86" s="1" t="s">
        <v>340</v>
      </c>
      <c r="H86" s="1">
        <v>51</v>
      </c>
      <c r="I86" s="1" t="s">
        <v>32</v>
      </c>
      <c r="J86" s="1">
        <v>5000</v>
      </c>
      <c r="K86" s="1">
        <v>31028981</v>
      </c>
      <c r="L86" s="1">
        <v>45566</v>
      </c>
      <c r="M86" s="1" t="s">
        <v>341</v>
      </c>
      <c r="N86" s="1" t="s">
        <v>305</v>
      </c>
      <c r="O86" s="1" t="s">
        <v>316</v>
      </c>
      <c r="P86" s="1" t="s">
        <v>307</v>
      </c>
      <c r="Q86" s="1">
        <v>0.39280000000000004</v>
      </c>
      <c r="R86" s="1" t="s">
        <v>342</v>
      </c>
      <c r="S86" s="1">
        <v>4</v>
      </c>
      <c r="T86" s="1">
        <v>4</v>
      </c>
      <c r="U86" s="1" t="s">
        <v>37</v>
      </c>
      <c r="V86" s="1" t="s">
        <v>37</v>
      </c>
      <c r="W86" s="1" t="s">
        <v>37</v>
      </c>
      <c r="X86" s="1">
        <v>20</v>
      </c>
      <c r="Y86" s="1" t="s">
        <v>37</v>
      </c>
      <c r="Z86" s="1" t="s">
        <v>37</v>
      </c>
      <c r="AA86" s="1" t="s">
        <v>321</v>
      </c>
    </row>
    <row r="87" spans="1:27" x14ac:dyDescent="0.3">
      <c r="A87" s="1">
        <v>86</v>
      </c>
      <c r="B87" s="1" t="s">
        <v>27</v>
      </c>
      <c r="C87" s="1" t="s">
        <v>269</v>
      </c>
      <c r="D87" s="1" t="s">
        <v>433</v>
      </c>
      <c r="E87" s="1" t="s">
        <v>343</v>
      </c>
      <c r="F87" s="1" t="s">
        <v>94</v>
      </c>
      <c r="G87" s="1" t="s">
        <v>344</v>
      </c>
      <c r="H87" s="1">
        <v>57</v>
      </c>
      <c r="I87" s="1" t="s">
        <v>32</v>
      </c>
      <c r="J87" s="1">
        <v>10000</v>
      </c>
      <c r="K87" s="1">
        <v>23952827</v>
      </c>
      <c r="L87" s="1">
        <v>45549</v>
      </c>
      <c r="M87" s="1" t="s">
        <v>345</v>
      </c>
      <c r="N87" s="1" t="s">
        <v>305</v>
      </c>
      <c r="O87" s="1" t="s">
        <v>316</v>
      </c>
      <c r="P87" s="1" t="s">
        <v>307</v>
      </c>
      <c r="Q87" s="1">
        <v>0.2984</v>
      </c>
      <c r="R87" s="1" t="s">
        <v>346</v>
      </c>
      <c r="S87" s="1">
        <v>5</v>
      </c>
      <c r="T87" s="1">
        <v>5</v>
      </c>
      <c r="U87" s="1" t="s">
        <v>37</v>
      </c>
      <c r="V87" s="1" t="s">
        <v>37</v>
      </c>
      <c r="W87" s="1" t="s">
        <v>37</v>
      </c>
      <c r="X87" s="1">
        <v>25</v>
      </c>
      <c r="Y87" s="1" t="s">
        <v>37</v>
      </c>
      <c r="Z87" s="1" t="s">
        <v>37</v>
      </c>
      <c r="AA87" s="1" t="s">
        <v>321</v>
      </c>
    </row>
    <row r="88" spans="1:27" x14ac:dyDescent="0.3">
      <c r="A88" s="1">
        <v>87</v>
      </c>
      <c r="B88" s="1" t="s">
        <v>27</v>
      </c>
      <c r="C88" s="1" t="s">
        <v>269</v>
      </c>
      <c r="D88" s="1" t="s">
        <v>29</v>
      </c>
      <c r="E88" s="1" t="s">
        <v>347</v>
      </c>
      <c r="F88" s="1" t="s">
        <v>58</v>
      </c>
      <c r="G88" s="1" t="s">
        <v>348</v>
      </c>
      <c r="H88" s="1">
        <v>33</v>
      </c>
      <c r="I88" s="1" t="s">
        <v>46</v>
      </c>
      <c r="J88" s="1">
        <v>25000</v>
      </c>
      <c r="K88" s="1">
        <v>47162683</v>
      </c>
      <c r="L88" s="1">
        <v>45595</v>
      </c>
      <c r="M88" s="1" t="s">
        <v>349</v>
      </c>
      <c r="N88" s="1" t="s">
        <v>305</v>
      </c>
      <c r="O88" s="1" t="s">
        <v>316</v>
      </c>
      <c r="P88" s="1" t="s">
        <v>307</v>
      </c>
      <c r="Q88" s="1">
        <v>0.2742</v>
      </c>
      <c r="R88" s="1" t="s">
        <v>350</v>
      </c>
      <c r="S88" s="1">
        <v>6</v>
      </c>
      <c r="T88" s="1">
        <v>5</v>
      </c>
      <c r="U88" s="1" t="s">
        <v>37</v>
      </c>
      <c r="V88" s="1" t="s">
        <v>37</v>
      </c>
      <c r="W88" s="1" t="s">
        <v>37</v>
      </c>
      <c r="X88" s="1">
        <v>10</v>
      </c>
      <c r="Y88" s="1" t="s">
        <v>37</v>
      </c>
      <c r="Z88" s="1" t="s">
        <v>37</v>
      </c>
      <c r="AA88" s="1" t="s">
        <v>309</v>
      </c>
    </row>
    <row r="89" spans="1:27" x14ac:dyDescent="0.3">
      <c r="A89" s="1">
        <v>88</v>
      </c>
      <c r="B89" s="1" t="s">
        <v>27</v>
      </c>
      <c r="C89" s="1" t="s">
        <v>269</v>
      </c>
      <c r="D89" s="1" t="s">
        <v>299</v>
      </c>
      <c r="E89" s="1" t="s">
        <v>351</v>
      </c>
      <c r="F89" s="1" t="s">
        <v>28</v>
      </c>
      <c r="G89" s="1" t="s">
        <v>352</v>
      </c>
      <c r="H89" s="1">
        <v>66</v>
      </c>
      <c r="I89" s="1" t="s">
        <v>32</v>
      </c>
      <c r="J89" s="1">
        <v>3000</v>
      </c>
      <c r="K89" s="1">
        <v>24940202</v>
      </c>
      <c r="L89" s="1">
        <v>45575</v>
      </c>
      <c r="M89" s="1" t="s">
        <v>315</v>
      </c>
      <c r="N89" s="1" t="s">
        <v>305</v>
      </c>
      <c r="O89" s="1" t="s">
        <v>316</v>
      </c>
      <c r="P89" s="1" t="s">
        <v>307</v>
      </c>
      <c r="Q89" s="1">
        <v>0.32919999999999999</v>
      </c>
      <c r="R89" s="1" t="s">
        <v>353</v>
      </c>
      <c r="S89" s="1">
        <v>20</v>
      </c>
      <c r="T89" s="1">
        <v>10</v>
      </c>
      <c r="U89" s="1" t="s">
        <v>37</v>
      </c>
      <c r="V89" s="1" t="s">
        <v>37</v>
      </c>
      <c r="W89" s="1" t="s">
        <v>37</v>
      </c>
      <c r="X89" s="1">
        <v>20</v>
      </c>
      <c r="Y89" s="1" t="s">
        <v>37</v>
      </c>
      <c r="Z89" s="1" t="s">
        <v>37</v>
      </c>
      <c r="AA89" s="1" t="s">
        <v>309</v>
      </c>
    </row>
    <row r="90" spans="1:27" x14ac:dyDescent="0.3">
      <c r="A90" s="1">
        <v>89</v>
      </c>
      <c r="B90" s="1" t="s">
        <v>27</v>
      </c>
      <c r="C90" s="1" t="s">
        <v>269</v>
      </c>
      <c r="D90" s="1" t="s">
        <v>58</v>
      </c>
      <c r="E90" s="1" t="s">
        <v>354</v>
      </c>
      <c r="F90" s="1" t="s">
        <v>58</v>
      </c>
      <c r="G90" s="1" t="s">
        <v>355</v>
      </c>
      <c r="H90" s="1">
        <v>46</v>
      </c>
      <c r="I90" s="1" t="s">
        <v>32</v>
      </c>
      <c r="J90" s="1">
        <v>20000</v>
      </c>
      <c r="K90" s="1">
        <v>80118408</v>
      </c>
      <c r="L90" s="1">
        <v>45575</v>
      </c>
      <c r="M90" s="1" t="s">
        <v>304</v>
      </c>
      <c r="N90" s="1" t="s">
        <v>305</v>
      </c>
      <c r="O90" s="1" t="s">
        <v>316</v>
      </c>
      <c r="P90" s="1" t="s">
        <v>307</v>
      </c>
      <c r="Q90" s="1">
        <v>0.42570000000000002</v>
      </c>
      <c r="R90" s="1" t="s">
        <v>356</v>
      </c>
      <c r="S90" s="1">
        <v>10</v>
      </c>
      <c r="T90" s="1">
        <v>5</v>
      </c>
      <c r="U90" s="1" t="s">
        <v>37</v>
      </c>
      <c r="V90" s="1" t="s">
        <v>37</v>
      </c>
      <c r="W90" s="1" t="s">
        <v>37</v>
      </c>
      <c r="X90" s="1">
        <v>15</v>
      </c>
      <c r="Y90" s="1" t="s">
        <v>37</v>
      </c>
      <c r="Z90" s="1" t="s">
        <v>37</v>
      </c>
      <c r="AA90" s="1" t="s">
        <v>309</v>
      </c>
    </row>
    <row r="91" spans="1:27" x14ac:dyDescent="0.3">
      <c r="A91" s="1">
        <v>90</v>
      </c>
      <c r="B91" s="1" t="s">
        <v>27</v>
      </c>
      <c r="C91" s="1" t="s">
        <v>269</v>
      </c>
      <c r="D91" s="1" t="s">
        <v>29</v>
      </c>
      <c r="E91" s="1" t="s">
        <v>357</v>
      </c>
      <c r="F91" s="1" t="s">
        <v>58</v>
      </c>
      <c r="G91" s="1" t="s">
        <v>358</v>
      </c>
      <c r="H91" s="1">
        <v>60</v>
      </c>
      <c r="I91" s="1" t="s">
        <v>46</v>
      </c>
      <c r="J91" s="1">
        <v>2000</v>
      </c>
      <c r="K91" s="1">
        <v>23884537</v>
      </c>
      <c r="L91" s="1">
        <v>45575</v>
      </c>
      <c r="M91" s="1" t="s">
        <v>315</v>
      </c>
      <c r="N91" s="1" t="s">
        <v>305</v>
      </c>
      <c r="O91" s="1" t="s">
        <v>316</v>
      </c>
      <c r="P91" s="1" t="s">
        <v>307</v>
      </c>
      <c r="Q91" s="1">
        <v>0.4763</v>
      </c>
      <c r="R91" s="1" t="s">
        <v>359</v>
      </c>
      <c r="S91" s="1">
        <v>5</v>
      </c>
      <c r="T91" s="1">
        <v>4</v>
      </c>
      <c r="U91" s="1" t="s">
        <v>37</v>
      </c>
      <c r="V91" s="1" t="s">
        <v>37</v>
      </c>
      <c r="W91" s="1" t="s">
        <v>37</v>
      </c>
      <c r="X91" s="1">
        <v>20</v>
      </c>
      <c r="Y91" s="1" t="s">
        <v>37</v>
      </c>
      <c r="Z91" s="1" t="s">
        <v>37</v>
      </c>
      <c r="AA91" s="1" t="s">
        <v>321</v>
      </c>
    </row>
    <row r="92" spans="1:27" x14ac:dyDescent="0.3">
      <c r="A92" s="1">
        <v>91</v>
      </c>
      <c r="B92" s="1" t="s">
        <v>27</v>
      </c>
      <c r="C92" s="1" t="s">
        <v>269</v>
      </c>
      <c r="D92" s="1" t="s">
        <v>70</v>
      </c>
      <c r="E92" s="1" t="s">
        <v>360</v>
      </c>
      <c r="F92" s="1" t="s">
        <v>58</v>
      </c>
      <c r="G92" s="1" t="s">
        <v>361</v>
      </c>
      <c r="H92" s="1">
        <v>63</v>
      </c>
      <c r="I92" s="1" t="s">
        <v>32</v>
      </c>
      <c r="J92" s="1">
        <v>2000</v>
      </c>
      <c r="K92" s="1">
        <v>24286307</v>
      </c>
      <c r="L92" s="1">
        <v>45574</v>
      </c>
      <c r="M92" s="1" t="s">
        <v>315</v>
      </c>
      <c r="N92" s="1" t="s">
        <v>305</v>
      </c>
      <c r="O92" s="1" t="s">
        <v>316</v>
      </c>
      <c r="P92" s="1" t="s">
        <v>307</v>
      </c>
      <c r="Q92" s="1">
        <v>0.4763</v>
      </c>
      <c r="R92" s="1" t="s">
        <v>362</v>
      </c>
      <c r="S92" s="1">
        <v>9</v>
      </c>
      <c r="T92" s="1">
        <v>3</v>
      </c>
      <c r="U92" s="1" t="s">
        <v>37</v>
      </c>
      <c r="V92" s="1" t="s">
        <v>37</v>
      </c>
      <c r="W92" s="1" t="s">
        <v>37</v>
      </c>
      <c r="X92" s="1">
        <v>25</v>
      </c>
      <c r="Y92" s="1" t="s">
        <v>37</v>
      </c>
      <c r="Z92" s="1" t="s">
        <v>37</v>
      </c>
      <c r="AA92" s="1" t="s">
        <v>321</v>
      </c>
    </row>
    <row r="93" spans="1:27" x14ac:dyDescent="0.3">
      <c r="A93" s="1">
        <v>92</v>
      </c>
      <c r="B93" s="1" t="s">
        <v>27</v>
      </c>
      <c r="C93" s="1" t="s">
        <v>269</v>
      </c>
      <c r="D93" s="1" t="s">
        <v>39</v>
      </c>
      <c r="E93" s="1" t="s">
        <v>363</v>
      </c>
      <c r="F93" s="1" t="s">
        <v>28</v>
      </c>
      <c r="G93" s="1" t="s">
        <v>364</v>
      </c>
      <c r="H93" s="1">
        <v>53</v>
      </c>
      <c r="I93" s="1" t="s">
        <v>32</v>
      </c>
      <c r="J93" s="1">
        <v>6000</v>
      </c>
      <c r="K93" s="1">
        <v>25004363</v>
      </c>
      <c r="L93" s="1">
        <v>45553</v>
      </c>
      <c r="M93" s="1" t="s">
        <v>365</v>
      </c>
      <c r="N93" s="1" t="s">
        <v>305</v>
      </c>
      <c r="O93" s="1" t="s">
        <v>316</v>
      </c>
      <c r="P93" s="1" t="s">
        <v>307</v>
      </c>
      <c r="Q93" s="1">
        <v>0.33700000000000002</v>
      </c>
      <c r="R93" s="1" t="s">
        <v>366</v>
      </c>
      <c r="S93" s="1">
        <v>5</v>
      </c>
      <c r="T93" s="1">
        <v>5</v>
      </c>
      <c r="U93" s="1" t="s">
        <v>37</v>
      </c>
      <c r="V93" s="1" t="s">
        <v>37</v>
      </c>
      <c r="W93" s="1" t="s">
        <v>37</v>
      </c>
      <c r="X93" s="1">
        <v>20</v>
      </c>
      <c r="Y93" s="1" t="s">
        <v>37</v>
      </c>
      <c r="Z93" s="1" t="s">
        <v>37</v>
      </c>
      <c r="AA93" s="1" t="s">
        <v>309</v>
      </c>
    </row>
    <row r="94" spans="1:27" x14ac:dyDescent="0.3">
      <c r="A94" s="1">
        <v>93</v>
      </c>
      <c r="B94" s="1" t="s">
        <v>27</v>
      </c>
      <c r="C94" s="1" t="s">
        <v>269</v>
      </c>
      <c r="D94" s="1" t="s">
        <v>39</v>
      </c>
      <c r="E94" s="1" t="s">
        <v>367</v>
      </c>
      <c r="F94" s="1" t="s">
        <v>28</v>
      </c>
      <c r="G94" s="1" t="s">
        <v>368</v>
      </c>
      <c r="H94" s="1">
        <v>27</v>
      </c>
      <c r="I94" s="1" t="s">
        <v>32</v>
      </c>
      <c r="J94" s="1">
        <v>5000</v>
      </c>
      <c r="K94" s="1">
        <v>73478514</v>
      </c>
      <c r="L94" s="1">
        <v>45553</v>
      </c>
      <c r="M94" s="1" t="s">
        <v>315</v>
      </c>
      <c r="N94" s="1" t="s">
        <v>305</v>
      </c>
      <c r="O94" s="1" t="s">
        <v>316</v>
      </c>
      <c r="P94" s="1" t="s">
        <v>307</v>
      </c>
      <c r="Q94" s="1">
        <v>0.39280000000000004</v>
      </c>
      <c r="R94" s="1" t="s">
        <v>369</v>
      </c>
      <c r="S94" s="1">
        <v>3</v>
      </c>
      <c r="T94" s="1">
        <v>3</v>
      </c>
      <c r="U94" s="1" t="s">
        <v>37</v>
      </c>
      <c r="V94" s="1" t="s">
        <v>37</v>
      </c>
      <c r="W94" s="1" t="s">
        <v>37</v>
      </c>
      <c r="X94" s="1">
        <v>5</v>
      </c>
      <c r="Y94" s="1" t="s">
        <v>37</v>
      </c>
      <c r="Z94" s="1" t="s">
        <v>37</v>
      </c>
      <c r="AA94" s="1" t="s">
        <v>309</v>
      </c>
    </row>
    <row r="95" spans="1:27" x14ac:dyDescent="0.3">
      <c r="A95" s="1">
        <v>94</v>
      </c>
      <c r="B95" s="1" t="s">
        <v>27</v>
      </c>
      <c r="C95" s="1" t="s">
        <v>269</v>
      </c>
      <c r="D95" s="1" t="s">
        <v>39</v>
      </c>
      <c r="E95" s="1" t="s">
        <v>370</v>
      </c>
      <c r="F95" s="1" t="s">
        <v>28</v>
      </c>
      <c r="G95" s="1" t="s">
        <v>371</v>
      </c>
      <c r="H95" s="1">
        <v>54</v>
      </c>
      <c r="I95" s="1" t="s">
        <v>32</v>
      </c>
      <c r="J95" s="1">
        <v>10000</v>
      </c>
      <c r="K95" s="1">
        <v>24992099</v>
      </c>
      <c r="L95" s="1">
        <v>45553</v>
      </c>
      <c r="M95" s="1" t="s">
        <v>315</v>
      </c>
      <c r="N95" s="1" t="s">
        <v>305</v>
      </c>
      <c r="O95" s="1" t="s">
        <v>316</v>
      </c>
      <c r="P95" s="1" t="s">
        <v>307</v>
      </c>
      <c r="Q95" s="1">
        <v>0.28770000000000001</v>
      </c>
      <c r="R95" s="1" t="s">
        <v>372</v>
      </c>
      <c r="S95" s="1">
        <v>7</v>
      </c>
      <c r="T95" s="1">
        <v>5</v>
      </c>
      <c r="U95" s="1" t="s">
        <v>37</v>
      </c>
      <c r="V95" s="1" t="s">
        <v>37</v>
      </c>
      <c r="W95" s="1" t="s">
        <v>37</v>
      </c>
      <c r="X95" s="1">
        <v>20</v>
      </c>
      <c r="Y95" s="1" t="s">
        <v>37</v>
      </c>
      <c r="Z95" s="1" t="s">
        <v>37</v>
      </c>
      <c r="AA95" s="1" t="s">
        <v>309</v>
      </c>
    </row>
    <row r="96" spans="1:27" x14ac:dyDescent="0.3">
      <c r="A96" s="1">
        <v>95</v>
      </c>
      <c r="B96" s="1" t="s">
        <v>27</v>
      </c>
      <c r="C96" s="1" t="s">
        <v>269</v>
      </c>
      <c r="D96" s="1" t="s">
        <v>29</v>
      </c>
      <c r="E96" s="1" t="s">
        <v>313</v>
      </c>
      <c r="F96" s="1" t="s">
        <v>28</v>
      </c>
      <c r="G96" s="1" t="s">
        <v>373</v>
      </c>
      <c r="H96" s="1">
        <v>47</v>
      </c>
      <c r="I96" s="1" t="s">
        <v>32</v>
      </c>
      <c r="J96" s="1">
        <v>45000</v>
      </c>
      <c r="K96" s="1">
        <v>80679378</v>
      </c>
      <c r="L96" s="1">
        <v>45638</v>
      </c>
      <c r="M96" s="1" t="s">
        <v>334</v>
      </c>
      <c r="N96" s="1" t="s">
        <v>325</v>
      </c>
      <c r="O96" s="1" t="s">
        <v>316</v>
      </c>
      <c r="P96" s="1" t="s">
        <v>374</v>
      </c>
      <c r="Q96" s="1">
        <v>0.2742</v>
      </c>
      <c r="R96" s="1" t="s">
        <v>375</v>
      </c>
      <c r="S96" s="1">
        <v>15</v>
      </c>
      <c r="T96" s="1">
        <v>12</v>
      </c>
      <c r="U96" s="1" t="s">
        <v>37</v>
      </c>
      <c r="V96" s="1" t="s">
        <v>37</v>
      </c>
      <c r="W96" s="1" t="s">
        <v>37</v>
      </c>
      <c r="X96" s="1">
        <v>25</v>
      </c>
      <c r="Y96" s="1" t="s">
        <v>37</v>
      </c>
      <c r="Z96" s="1" t="s">
        <v>37</v>
      </c>
      <c r="AA96" s="1" t="s">
        <v>309</v>
      </c>
    </row>
    <row r="97" spans="1:27" x14ac:dyDescent="0.3">
      <c r="A97" s="1">
        <v>96</v>
      </c>
      <c r="B97" s="1" t="s">
        <v>27</v>
      </c>
      <c r="C97" s="1" t="s">
        <v>269</v>
      </c>
      <c r="D97" s="1" t="s">
        <v>29</v>
      </c>
      <c r="E97" s="1" t="s">
        <v>376</v>
      </c>
      <c r="F97" s="1" t="s">
        <v>28</v>
      </c>
      <c r="G97" s="1" t="s">
        <v>377</v>
      </c>
      <c r="H97" s="1">
        <v>60</v>
      </c>
      <c r="I97" s="1" t="s">
        <v>46</v>
      </c>
      <c r="J97" s="1">
        <v>10000</v>
      </c>
      <c r="K97" s="1">
        <v>24942684</v>
      </c>
      <c r="L97" s="1">
        <v>45551</v>
      </c>
      <c r="M97" s="1" t="s">
        <v>378</v>
      </c>
      <c r="N97" s="1" t="s">
        <v>305</v>
      </c>
      <c r="O97" s="1" t="s">
        <v>316</v>
      </c>
      <c r="P97" s="1" t="s">
        <v>307</v>
      </c>
      <c r="Q97" s="1">
        <v>0.2802</v>
      </c>
      <c r="R97" s="1" t="s">
        <v>379</v>
      </c>
      <c r="S97" s="1">
        <v>5</v>
      </c>
      <c r="T97" s="1">
        <v>4</v>
      </c>
      <c r="U97" s="1" t="s">
        <v>37</v>
      </c>
      <c r="V97" s="1" t="s">
        <v>37</v>
      </c>
      <c r="W97" s="1" t="s">
        <v>37</v>
      </c>
      <c r="X97" s="1">
        <v>30</v>
      </c>
      <c r="Y97" s="1" t="s">
        <v>37</v>
      </c>
      <c r="Z97" s="1" t="s">
        <v>37</v>
      </c>
      <c r="AA97" s="1" t="s">
        <v>309</v>
      </c>
    </row>
    <row r="98" spans="1:27" x14ac:dyDescent="0.3">
      <c r="A98" s="1">
        <v>97</v>
      </c>
      <c r="B98" s="1" t="s">
        <v>27</v>
      </c>
      <c r="C98" s="1" t="s">
        <v>269</v>
      </c>
      <c r="D98" s="1" t="s">
        <v>29</v>
      </c>
      <c r="E98" s="1" t="s">
        <v>380</v>
      </c>
      <c r="F98" s="1" t="s">
        <v>28</v>
      </c>
      <c r="G98" s="1" t="s">
        <v>381</v>
      </c>
      <c r="H98" s="1">
        <v>67</v>
      </c>
      <c r="I98" s="1" t="s">
        <v>46</v>
      </c>
      <c r="J98" s="1">
        <v>5000</v>
      </c>
      <c r="K98" s="1">
        <v>24952156</v>
      </c>
      <c r="L98" s="1">
        <v>45551</v>
      </c>
      <c r="M98" s="1" t="s">
        <v>341</v>
      </c>
      <c r="N98" s="1" t="s">
        <v>305</v>
      </c>
      <c r="O98" s="1" t="s">
        <v>316</v>
      </c>
      <c r="P98" s="1" t="s">
        <v>307</v>
      </c>
      <c r="Q98" s="1">
        <v>0.32140000000000002</v>
      </c>
      <c r="R98" s="1" t="s">
        <v>382</v>
      </c>
      <c r="S98" s="1">
        <v>6</v>
      </c>
      <c r="T98" s="1">
        <v>4</v>
      </c>
      <c r="U98" s="1" t="s">
        <v>37</v>
      </c>
      <c r="V98" s="1" t="s">
        <v>37</v>
      </c>
      <c r="W98" s="1" t="s">
        <v>37</v>
      </c>
      <c r="X98" s="1">
        <v>15</v>
      </c>
      <c r="Y98" s="1" t="s">
        <v>37</v>
      </c>
      <c r="Z98" s="1" t="s">
        <v>37</v>
      </c>
      <c r="AA98" s="1" t="s">
        <v>309</v>
      </c>
    </row>
    <row r="99" spans="1:27" x14ac:dyDescent="0.3">
      <c r="A99" s="1">
        <v>98</v>
      </c>
      <c r="B99" s="1" t="s">
        <v>27</v>
      </c>
      <c r="C99" s="1" t="s">
        <v>269</v>
      </c>
      <c r="D99" s="1" t="s">
        <v>29</v>
      </c>
      <c r="E99" s="1" t="s">
        <v>383</v>
      </c>
      <c r="F99" s="1" t="s">
        <v>28</v>
      </c>
      <c r="G99" s="1" t="s">
        <v>384</v>
      </c>
      <c r="H99" s="1">
        <v>56</v>
      </c>
      <c r="I99" s="1" t="s">
        <v>46</v>
      </c>
      <c r="J99" s="1">
        <v>15000</v>
      </c>
      <c r="K99" s="1">
        <v>24988245</v>
      </c>
      <c r="L99" s="1">
        <v>45548</v>
      </c>
      <c r="M99" s="1" t="s">
        <v>341</v>
      </c>
      <c r="N99" s="1" t="s">
        <v>305</v>
      </c>
      <c r="O99" s="1" t="s">
        <v>316</v>
      </c>
      <c r="P99" s="1" t="s">
        <v>307</v>
      </c>
      <c r="Q99" s="1">
        <v>0.2802</v>
      </c>
      <c r="R99" s="1" t="s">
        <v>385</v>
      </c>
      <c r="S99" s="1">
        <v>8</v>
      </c>
      <c r="T99" s="1">
        <v>8</v>
      </c>
      <c r="U99" s="1" t="s">
        <v>37</v>
      </c>
      <c r="V99" s="1" t="s">
        <v>37</v>
      </c>
      <c r="W99" s="1" t="s">
        <v>37</v>
      </c>
      <c r="X99" s="1">
        <v>20</v>
      </c>
      <c r="Y99" s="1" t="s">
        <v>37</v>
      </c>
      <c r="Z99" s="1" t="s">
        <v>37</v>
      </c>
      <c r="AA99" s="1" t="s">
        <v>309</v>
      </c>
    </row>
    <row r="100" spans="1:27" x14ac:dyDescent="0.3">
      <c r="A100" s="1">
        <v>99</v>
      </c>
      <c r="B100" s="1" t="s">
        <v>27</v>
      </c>
      <c r="C100" s="1" t="s">
        <v>269</v>
      </c>
      <c r="D100" s="1" t="s">
        <v>29</v>
      </c>
      <c r="E100" s="1" t="s">
        <v>313</v>
      </c>
      <c r="F100" s="1" t="s">
        <v>28</v>
      </c>
      <c r="G100" s="1" t="s">
        <v>386</v>
      </c>
      <c r="H100" s="1">
        <v>66</v>
      </c>
      <c r="I100" s="1" t="s">
        <v>32</v>
      </c>
      <c r="J100" s="1">
        <v>2000</v>
      </c>
      <c r="K100" s="1">
        <v>24952740</v>
      </c>
      <c r="L100" s="1">
        <v>45547</v>
      </c>
      <c r="M100" s="1" t="s">
        <v>315</v>
      </c>
      <c r="N100" s="1" t="s">
        <v>305</v>
      </c>
      <c r="O100" s="1" t="s">
        <v>316</v>
      </c>
      <c r="P100" s="1" t="s">
        <v>307</v>
      </c>
      <c r="Q100" s="1">
        <v>0.4763</v>
      </c>
      <c r="R100" s="1" t="s">
        <v>387</v>
      </c>
      <c r="S100" s="1">
        <v>4</v>
      </c>
      <c r="T100" s="1">
        <v>3</v>
      </c>
      <c r="U100" s="1" t="s">
        <v>37</v>
      </c>
      <c r="V100" s="1" t="s">
        <v>37</v>
      </c>
      <c r="W100" s="1" t="s">
        <v>37</v>
      </c>
      <c r="X100" s="1">
        <v>15</v>
      </c>
      <c r="Y100" s="1" t="s">
        <v>37</v>
      </c>
      <c r="Z100" s="1" t="s">
        <v>37</v>
      </c>
      <c r="AA100" s="1" t="s">
        <v>321</v>
      </c>
    </row>
    <row r="101" spans="1:27" x14ac:dyDescent="0.3">
      <c r="A101" s="1">
        <v>100</v>
      </c>
      <c r="B101" s="1" t="s">
        <v>27</v>
      </c>
      <c r="C101" s="1" t="s">
        <v>269</v>
      </c>
      <c r="D101" s="1" t="s">
        <v>29</v>
      </c>
      <c r="E101" s="1" t="s">
        <v>313</v>
      </c>
      <c r="F101" s="1" t="s">
        <v>28</v>
      </c>
      <c r="G101" s="1" t="s">
        <v>388</v>
      </c>
      <c r="H101" s="1">
        <v>44</v>
      </c>
      <c r="I101" s="1" t="s">
        <v>32</v>
      </c>
      <c r="J101" s="1">
        <v>2000</v>
      </c>
      <c r="K101" s="1">
        <v>42680079</v>
      </c>
      <c r="L101" s="1">
        <v>45547</v>
      </c>
      <c r="M101" s="1" t="s">
        <v>341</v>
      </c>
      <c r="N101" s="1" t="s">
        <v>305</v>
      </c>
      <c r="O101" s="1" t="s">
        <v>316</v>
      </c>
      <c r="P101" s="1" t="s">
        <v>307</v>
      </c>
      <c r="Q101" s="1">
        <v>0.4763</v>
      </c>
      <c r="R101" s="1" t="s">
        <v>389</v>
      </c>
      <c r="S101" s="1">
        <v>4</v>
      </c>
      <c r="T101" s="1">
        <v>4</v>
      </c>
      <c r="U101" s="1" t="s">
        <v>37</v>
      </c>
      <c r="V101" s="1" t="s">
        <v>37</v>
      </c>
      <c r="W101" s="1" t="s">
        <v>37</v>
      </c>
      <c r="X101" s="1">
        <v>10</v>
      </c>
      <c r="Y101" s="1" t="s">
        <v>37</v>
      </c>
      <c r="Z101" s="1" t="s">
        <v>37</v>
      </c>
      <c r="AA101" s="1" t="s">
        <v>321</v>
      </c>
    </row>
    <row r="102" spans="1:27" x14ac:dyDescent="0.3">
      <c r="A102" s="1">
        <v>101</v>
      </c>
      <c r="B102" s="1" t="s">
        <v>27</v>
      </c>
      <c r="C102" s="1" t="s">
        <v>269</v>
      </c>
      <c r="D102" s="1" t="s">
        <v>29</v>
      </c>
      <c r="E102" s="1" t="s">
        <v>302</v>
      </c>
      <c r="F102" s="1" t="s">
        <v>28</v>
      </c>
      <c r="G102" s="1" t="s">
        <v>390</v>
      </c>
      <c r="H102" s="1">
        <v>41</v>
      </c>
      <c r="I102" s="1" t="s">
        <v>46</v>
      </c>
      <c r="J102" s="1">
        <v>3000</v>
      </c>
      <c r="K102" s="1">
        <v>41733890</v>
      </c>
      <c r="L102" s="1">
        <v>45607</v>
      </c>
      <c r="M102" s="1" t="s">
        <v>315</v>
      </c>
      <c r="N102" s="1" t="s">
        <v>305</v>
      </c>
      <c r="O102" s="1" t="s">
        <v>316</v>
      </c>
      <c r="P102" s="1" t="s">
        <v>307</v>
      </c>
      <c r="Q102" s="1">
        <v>0.31369999999999998</v>
      </c>
      <c r="R102" s="1" t="s">
        <v>391</v>
      </c>
      <c r="S102" s="1">
        <v>4</v>
      </c>
      <c r="T102" s="1">
        <v>3</v>
      </c>
      <c r="U102" s="1" t="s">
        <v>37</v>
      </c>
      <c r="V102" s="1" t="s">
        <v>37</v>
      </c>
      <c r="W102" s="1" t="s">
        <v>37</v>
      </c>
      <c r="X102" s="1">
        <v>12</v>
      </c>
      <c r="Y102" s="1" t="s">
        <v>37</v>
      </c>
      <c r="Z102" s="1" t="s">
        <v>37</v>
      </c>
      <c r="AA102" s="1" t="s">
        <v>309</v>
      </c>
    </row>
    <row r="103" spans="1:27" x14ac:dyDescent="0.3">
      <c r="A103" s="1">
        <v>102</v>
      </c>
      <c r="B103" s="1" t="s">
        <v>27</v>
      </c>
      <c r="C103" s="1" t="s">
        <v>269</v>
      </c>
      <c r="D103" s="1" t="s">
        <v>29</v>
      </c>
      <c r="E103" s="1" t="s">
        <v>392</v>
      </c>
      <c r="F103" s="1" t="s">
        <v>28</v>
      </c>
      <c r="G103" s="1" t="s">
        <v>393</v>
      </c>
      <c r="H103" s="1">
        <v>50</v>
      </c>
      <c r="I103" s="1" t="s">
        <v>46</v>
      </c>
      <c r="J103" s="1">
        <v>3000</v>
      </c>
      <c r="K103" s="1">
        <v>24995754</v>
      </c>
      <c r="L103" s="1">
        <v>45542</v>
      </c>
      <c r="M103" s="1" t="s">
        <v>315</v>
      </c>
      <c r="N103" s="1" t="s">
        <v>305</v>
      </c>
      <c r="O103" s="1" t="s">
        <v>316</v>
      </c>
      <c r="P103" s="1" t="s">
        <v>307</v>
      </c>
      <c r="Q103" s="1">
        <v>0.32919999999999999</v>
      </c>
      <c r="R103" s="1" t="s">
        <v>394</v>
      </c>
      <c r="S103" s="1">
        <v>5</v>
      </c>
      <c r="T103" s="1">
        <v>4</v>
      </c>
      <c r="U103" s="1" t="s">
        <v>37</v>
      </c>
      <c r="V103" s="1" t="s">
        <v>37</v>
      </c>
      <c r="W103" s="1" t="s">
        <v>37</v>
      </c>
      <c r="X103" s="1">
        <v>10</v>
      </c>
      <c r="Y103" s="1" t="s">
        <v>37</v>
      </c>
      <c r="Z103" s="1" t="s">
        <v>37</v>
      </c>
      <c r="AA103" s="1" t="s">
        <v>309</v>
      </c>
    </row>
    <row r="104" spans="1:27" x14ac:dyDescent="0.3">
      <c r="A104" s="1">
        <v>103</v>
      </c>
      <c r="B104" s="1" t="s">
        <v>27</v>
      </c>
      <c r="C104" s="1" t="s">
        <v>269</v>
      </c>
      <c r="D104" s="1" t="s">
        <v>29</v>
      </c>
      <c r="E104" s="1" t="s">
        <v>395</v>
      </c>
      <c r="F104" s="1" t="s">
        <v>28</v>
      </c>
      <c r="G104" s="1" t="s">
        <v>396</v>
      </c>
      <c r="H104" s="1">
        <v>28</v>
      </c>
      <c r="I104" s="1" t="s">
        <v>32</v>
      </c>
      <c r="J104" s="1">
        <v>20000</v>
      </c>
      <c r="K104" s="1">
        <v>76546202</v>
      </c>
      <c r="L104" s="1">
        <v>45533</v>
      </c>
      <c r="M104" s="1" t="s">
        <v>315</v>
      </c>
      <c r="N104" s="1" t="s">
        <v>305</v>
      </c>
      <c r="O104" s="1" t="s">
        <v>316</v>
      </c>
      <c r="P104" s="1" t="s">
        <v>307</v>
      </c>
      <c r="Q104" s="1">
        <v>0.28620000000000001</v>
      </c>
      <c r="R104" s="1" t="s">
        <v>397</v>
      </c>
      <c r="S104" s="1">
        <v>10</v>
      </c>
      <c r="T104" s="1">
        <v>8</v>
      </c>
      <c r="U104" s="1" t="s">
        <v>37</v>
      </c>
      <c r="V104" s="1" t="s">
        <v>37</v>
      </c>
      <c r="W104" s="1" t="s">
        <v>37</v>
      </c>
      <c r="X104" s="1">
        <v>6</v>
      </c>
      <c r="Y104" s="1" t="s">
        <v>37</v>
      </c>
      <c r="Z104" s="1" t="s">
        <v>37</v>
      </c>
      <c r="AA104" s="1" t="s">
        <v>309</v>
      </c>
    </row>
    <row r="105" spans="1:27" x14ac:dyDescent="0.3">
      <c r="A105" s="1">
        <v>104</v>
      </c>
      <c r="B105" s="1" t="s">
        <v>27</v>
      </c>
      <c r="C105" s="1" t="s">
        <v>269</v>
      </c>
      <c r="D105" s="1" t="s">
        <v>299</v>
      </c>
      <c r="E105" s="1" t="s">
        <v>398</v>
      </c>
      <c r="F105" s="1" t="s">
        <v>28</v>
      </c>
      <c r="G105" s="1" t="s">
        <v>399</v>
      </c>
      <c r="H105" s="1">
        <v>68</v>
      </c>
      <c r="I105" s="1" t="s">
        <v>46</v>
      </c>
      <c r="J105" s="1">
        <v>15000</v>
      </c>
      <c r="K105" s="1">
        <v>24968870</v>
      </c>
      <c r="L105" s="1">
        <v>45533</v>
      </c>
      <c r="M105" s="1" t="s">
        <v>304</v>
      </c>
      <c r="N105" s="1" t="s">
        <v>305</v>
      </c>
      <c r="O105" s="1" t="s">
        <v>316</v>
      </c>
      <c r="P105" s="1" t="s">
        <v>307</v>
      </c>
      <c r="Q105" s="1">
        <v>0.31369999999999998</v>
      </c>
      <c r="R105" s="1" t="s">
        <v>400</v>
      </c>
      <c r="S105" s="1">
        <v>9</v>
      </c>
      <c r="T105" s="1">
        <v>9</v>
      </c>
      <c r="U105" s="1" t="s">
        <v>37</v>
      </c>
      <c r="V105" s="1" t="s">
        <v>37</v>
      </c>
      <c r="W105" s="1" t="s">
        <v>37</v>
      </c>
      <c r="X105" s="1">
        <v>12</v>
      </c>
      <c r="Y105" s="1" t="s">
        <v>37</v>
      </c>
      <c r="Z105" s="1" t="s">
        <v>37</v>
      </c>
      <c r="AA105" s="1" t="s">
        <v>321</v>
      </c>
    </row>
    <row r="106" spans="1:27" x14ac:dyDescent="0.3">
      <c r="A106" s="1">
        <v>105</v>
      </c>
      <c r="B106" s="1" t="s">
        <v>27</v>
      </c>
      <c r="C106" s="1" t="s">
        <v>269</v>
      </c>
      <c r="D106" s="1" t="s">
        <v>29</v>
      </c>
      <c r="E106" s="1" t="s">
        <v>401</v>
      </c>
      <c r="F106" s="1" t="s">
        <v>28</v>
      </c>
      <c r="G106" s="1" t="s">
        <v>402</v>
      </c>
      <c r="H106" s="1">
        <v>42</v>
      </c>
      <c r="I106" s="1" t="s">
        <v>32</v>
      </c>
      <c r="J106" s="1">
        <v>5000</v>
      </c>
      <c r="K106" s="1">
        <v>42621829</v>
      </c>
      <c r="L106" s="1">
        <v>45583</v>
      </c>
      <c r="M106" s="1" t="s">
        <v>341</v>
      </c>
      <c r="N106" s="1" t="s">
        <v>305</v>
      </c>
      <c r="O106" s="1" t="s">
        <v>316</v>
      </c>
      <c r="P106" s="1" t="s">
        <v>307</v>
      </c>
      <c r="Q106" s="1">
        <v>0.32140000000000002</v>
      </c>
      <c r="R106" s="1" t="s">
        <v>403</v>
      </c>
      <c r="S106" s="1">
        <v>7</v>
      </c>
      <c r="T106" s="1">
        <v>5</v>
      </c>
      <c r="U106" s="1" t="s">
        <v>37</v>
      </c>
      <c r="V106" s="1" t="s">
        <v>37</v>
      </c>
      <c r="W106" s="1" t="s">
        <v>37</v>
      </c>
      <c r="X106" s="1">
        <v>8</v>
      </c>
      <c r="Y106" s="1" t="s">
        <v>37</v>
      </c>
      <c r="Z106" s="1" t="s">
        <v>37</v>
      </c>
      <c r="AA106" s="1" t="s">
        <v>309</v>
      </c>
    </row>
    <row r="107" spans="1:27" x14ac:dyDescent="0.3">
      <c r="A107" s="1">
        <v>106</v>
      </c>
      <c r="B107" s="1" t="s">
        <v>27</v>
      </c>
      <c r="C107" s="1" t="s">
        <v>269</v>
      </c>
      <c r="D107" s="1" t="s">
        <v>39</v>
      </c>
      <c r="E107" s="1" t="s">
        <v>404</v>
      </c>
      <c r="F107" s="1" t="s">
        <v>28</v>
      </c>
      <c r="G107" s="1" t="s">
        <v>405</v>
      </c>
      <c r="H107" s="1">
        <v>31</v>
      </c>
      <c r="I107" s="1" t="s">
        <v>32</v>
      </c>
      <c r="J107" s="1">
        <v>5000</v>
      </c>
      <c r="K107" s="1">
        <v>62097411</v>
      </c>
      <c r="L107" s="1">
        <v>45530</v>
      </c>
      <c r="M107" s="1" t="s">
        <v>315</v>
      </c>
      <c r="N107" s="1" t="s">
        <v>305</v>
      </c>
      <c r="O107" s="1" t="s">
        <v>316</v>
      </c>
      <c r="P107" s="1" t="s">
        <v>307</v>
      </c>
      <c r="Q107" s="1">
        <v>0.33229999999999998</v>
      </c>
      <c r="R107" s="1" t="s">
        <v>406</v>
      </c>
      <c r="S107" s="1">
        <v>4</v>
      </c>
      <c r="T107" s="1">
        <v>3</v>
      </c>
      <c r="U107" s="1" t="s">
        <v>37</v>
      </c>
      <c r="V107" s="1" t="s">
        <v>37</v>
      </c>
      <c r="W107" s="1" t="s">
        <v>37</v>
      </c>
      <c r="X107" s="1">
        <v>10</v>
      </c>
      <c r="Y107" s="1" t="s">
        <v>37</v>
      </c>
      <c r="Z107" s="1" t="s">
        <v>37</v>
      </c>
      <c r="AA107" s="1" t="s">
        <v>309</v>
      </c>
    </row>
    <row r="108" spans="1:27" x14ac:dyDescent="0.3">
      <c r="A108" s="1">
        <v>107</v>
      </c>
      <c r="B108" s="1" t="s">
        <v>27</v>
      </c>
      <c r="C108" s="1" t="s">
        <v>269</v>
      </c>
      <c r="D108" s="1" t="s">
        <v>39</v>
      </c>
      <c r="E108" s="1" t="s">
        <v>407</v>
      </c>
      <c r="F108" s="1" t="s">
        <v>28</v>
      </c>
      <c r="G108" s="1" t="s">
        <v>408</v>
      </c>
      <c r="H108" s="1">
        <v>48</v>
      </c>
      <c r="I108" s="1" t="s">
        <v>32</v>
      </c>
      <c r="J108" s="1">
        <v>2000</v>
      </c>
      <c r="K108" s="1">
        <v>25326513</v>
      </c>
      <c r="L108" s="1">
        <v>45530</v>
      </c>
      <c r="M108" s="1" t="s">
        <v>315</v>
      </c>
      <c r="N108" s="1" t="s">
        <v>305</v>
      </c>
      <c r="O108" s="1" t="s">
        <v>316</v>
      </c>
      <c r="P108" s="1" t="s">
        <v>307</v>
      </c>
      <c r="Q108" s="1">
        <v>0.4763</v>
      </c>
      <c r="R108" s="1" t="s">
        <v>409</v>
      </c>
      <c r="S108" s="1">
        <v>5</v>
      </c>
      <c r="T108" s="1">
        <v>4</v>
      </c>
      <c r="U108" s="1" t="s">
        <v>37</v>
      </c>
      <c r="V108" s="1" t="s">
        <v>37</v>
      </c>
      <c r="W108" s="1" t="s">
        <v>37</v>
      </c>
      <c r="X108" s="1">
        <v>8</v>
      </c>
      <c r="Y108" s="1" t="s">
        <v>37</v>
      </c>
      <c r="Z108" s="1" t="s">
        <v>37</v>
      </c>
      <c r="AA108" s="1" t="s">
        <v>321</v>
      </c>
    </row>
    <row r="109" spans="1:27" x14ac:dyDescent="0.3">
      <c r="A109" s="1">
        <v>108</v>
      </c>
      <c r="B109" s="1" t="s">
        <v>27</v>
      </c>
      <c r="C109" s="1" t="s">
        <v>269</v>
      </c>
      <c r="D109" s="1" t="s">
        <v>29</v>
      </c>
      <c r="E109" s="1" t="s">
        <v>410</v>
      </c>
      <c r="F109" s="1" t="s">
        <v>28</v>
      </c>
      <c r="G109" s="1" t="s">
        <v>411</v>
      </c>
      <c r="H109" s="1">
        <v>53</v>
      </c>
      <c r="I109" s="1" t="s">
        <v>32</v>
      </c>
      <c r="J109" s="1">
        <v>8000</v>
      </c>
      <c r="K109" s="1">
        <v>24992672</v>
      </c>
      <c r="L109" s="1">
        <v>45523</v>
      </c>
      <c r="M109" s="1" t="s">
        <v>315</v>
      </c>
      <c r="N109" s="1" t="s">
        <v>305</v>
      </c>
      <c r="O109" s="1" t="s">
        <v>316</v>
      </c>
      <c r="P109" s="1" t="s">
        <v>307</v>
      </c>
      <c r="Q109" s="1">
        <v>0.32140000000000002</v>
      </c>
      <c r="R109" s="1" t="s">
        <v>412</v>
      </c>
      <c r="S109" s="1">
        <v>3</v>
      </c>
      <c r="T109" s="1">
        <v>3</v>
      </c>
      <c r="U109" s="1" t="s">
        <v>37</v>
      </c>
      <c r="V109" s="1" t="s">
        <v>37</v>
      </c>
      <c r="W109" s="1" t="s">
        <v>37</v>
      </c>
      <c r="X109" s="1">
        <v>11</v>
      </c>
      <c r="Y109" s="1" t="s">
        <v>37</v>
      </c>
      <c r="Z109" s="1" t="s">
        <v>37</v>
      </c>
      <c r="AA109" s="1" t="s">
        <v>309</v>
      </c>
    </row>
    <row r="110" spans="1:27" x14ac:dyDescent="0.3">
      <c r="A110" s="1">
        <v>109</v>
      </c>
      <c r="B110" s="1" t="s">
        <v>27</v>
      </c>
      <c r="C110" s="1" t="s">
        <v>269</v>
      </c>
      <c r="D110" s="1" t="s">
        <v>29</v>
      </c>
      <c r="E110" s="1" t="s">
        <v>413</v>
      </c>
      <c r="F110" s="1" t="s">
        <v>28</v>
      </c>
      <c r="G110" s="1" t="s">
        <v>414</v>
      </c>
      <c r="H110" s="1">
        <v>32</v>
      </c>
      <c r="I110" s="1" t="s">
        <v>32</v>
      </c>
      <c r="J110" s="1">
        <v>5000</v>
      </c>
      <c r="K110" s="1">
        <v>47755054</v>
      </c>
      <c r="L110" s="1">
        <v>45519</v>
      </c>
      <c r="M110" s="1" t="s">
        <v>315</v>
      </c>
      <c r="N110" s="1" t="s">
        <v>305</v>
      </c>
      <c r="O110" s="1" t="s">
        <v>316</v>
      </c>
      <c r="P110" s="1" t="s">
        <v>307</v>
      </c>
      <c r="Q110" s="1">
        <v>0.33229999999999998</v>
      </c>
      <c r="R110" s="1" t="s">
        <v>415</v>
      </c>
      <c r="S110" s="1">
        <v>5</v>
      </c>
      <c r="T110" s="1">
        <v>4</v>
      </c>
      <c r="U110" s="1" t="s">
        <v>37</v>
      </c>
      <c r="V110" s="1" t="s">
        <v>37</v>
      </c>
      <c r="W110" s="1" t="s">
        <v>37</v>
      </c>
      <c r="X110" s="1">
        <v>9</v>
      </c>
      <c r="Y110" s="1" t="s">
        <v>37</v>
      </c>
      <c r="Z110" s="1" t="s">
        <v>37</v>
      </c>
      <c r="AA110" s="1" t="s">
        <v>321</v>
      </c>
    </row>
    <row r="111" spans="1:27" x14ac:dyDescent="0.3">
      <c r="A111" s="1">
        <v>110</v>
      </c>
      <c r="B111" s="1" t="s">
        <v>27</v>
      </c>
      <c r="C111" s="1" t="s">
        <v>269</v>
      </c>
      <c r="D111" s="1" t="s">
        <v>29</v>
      </c>
      <c r="E111" s="1" t="s">
        <v>416</v>
      </c>
      <c r="F111" s="1" t="s">
        <v>28</v>
      </c>
      <c r="G111" s="1" t="s">
        <v>417</v>
      </c>
      <c r="H111" s="1">
        <v>60</v>
      </c>
      <c r="I111" s="1" t="s">
        <v>46</v>
      </c>
      <c r="J111" s="1">
        <v>5000</v>
      </c>
      <c r="K111" s="1">
        <v>24950756</v>
      </c>
      <c r="L111" s="1">
        <v>45516</v>
      </c>
      <c r="M111" s="1" t="s">
        <v>315</v>
      </c>
      <c r="N111" s="1" t="s">
        <v>305</v>
      </c>
      <c r="O111" s="1" t="s">
        <v>316</v>
      </c>
      <c r="P111" s="1" t="s">
        <v>307</v>
      </c>
      <c r="Q111" s="1">
        <v>0.31140000000000001</v>
      </c>
      <c r="R111" s="1" t="s">
        <v>418</v>
      </c>
      <c r="S111" s="1">
        <v>6</v>
      </c>
      <c r="T111" s="1">
        <v>4</v>
      </c>
      <c r="U111" s="1" t="s">
        <v>37</v>
      </c>
      <c r="V111" s="1" t="s">
        <v>37</v>
      </c>
      <c r="W111" s="1" t="s">
        <v>37</v>
      </c>
      <c r="X111" s="1">
        <v>15</v>
      </c>
      <c r="Y111" s="1" t="s">
        <v>37</v>
      </c>
      <c r="Z111" s="1" t="s">
        <v>37</v>
      </c>
      <c r="AA111" s="1" t="s">
        <v>309</v>
      </c>
    </row>
    <row r="112" spans="1:27" x14ac:dyDescent="0.3">
      <c r="A112" s="1">
        <v>111</v>
      </c>
      <c r="B112" s="1" t="s">
        <v>27</v>
      </c>
      <c r="C112" s="1" t="s">
        <v>269</v>
      </c>
      <c r="D112" s="1" t="s">
        <v>39</v>
      </c>
      <c r="E112" s="1" t="s">
        <v>419</v>
      </c>
      <c r="F112" s="1" t="s">
        <v>28</v>
      </c>
      <c r="G112" s="1" t="s">
        <v>420</v>
      </c>
      <c r="H112" s="1">
        <v>62</v>
      </c>
      <c r="I112" s="1" t="s">
        <v>32</v>
      </c>
      <c r="J112" s="1">
        <v>30000</v>
      </c>
      <c r="K112" s="1">
        <v>23971845</v>
      </c>
      <c r="L112" s="1">
        <v>45509</v>
      </c>
      <c r="M112" s="1" t="s">
        <v>315</v>
      </c>
      <c r="N112" s="1" t="s">
        <v>305</v>
      </c>
      <c r="O112" s="1" t="s">
        <v>316</v>
      </c>
      <c r="P112" s="1" t="s">
        <v>307</v>
      </c>
      <c r="Q112" s="1">
        <v>0.26819999999999999</v>
      </c>
      <c r="S112" s="1">
        <v>12</v>
      </c>
      <c r="T112" s="1">
        <v>9</v>
      </c>
      <c r="U112" s="1" t="s">
        <v>37</v>
      </c>
      <c r="V112" s="1" t="s">
        <v>37</v>
      </c>
      <c r="W112" s="1" t="s">
        <v>37</v>
      </c>
      <c r="X112" s="1">
        <v>20</v>
      </c>
      <c r="Y112" s="1" t="s">
        <v>37</v>
      </c>
      <c r="Z112" s="1" t="s">
        <v>37</v>
      </c>
      <c r="AA112" s="1" t="s">
        <v>309</v>
      </c>
    </row>
    <row r="113" spans="1:27" x14ac:dyDescent="0.3">
      <c r="A113" s="1">
        <v>112</v>
      </c>
      <c r="B113" s="1" t="s">
        <v>27</v>
      </c>
      <c r="C113" s="1" t="s">
        <v>269</v>
      </c>
      <c r="D113" s="1" t="s">
        <v>29</v>
      </c>
      <c r="E113" s="1" t="s">
        <v>421</v>
      </c>
      <c r="F113" s="1" t="s">
        <v>58</v>
      </c>
      <c r="G113" s="1" t="s">
        <v>422</v>
      </c>
      <c r="H113" s="1">
        <v>39</v>
      </c>
      <c r="I113" s="1" t="s">
        <v>46</v>
      </c>
      <c r="J113" s="1">
        <v>20000</v>
      </c>
      <c r="K113" s="1">
        <v>44677527</v>
      </c>
      <c r="L113" s="1">
        <v>45639</v>
      </c>
      <c r="M113" s="1" t="s">
        <v>315</v>
      </c>
      <c r="N113" s="1" t="s">
        <v>305</v>
      </c>
      <c r="O113" s="1" t="s">
        <v>316</v>
      </c>
      <c r="P113" s="1" t="s">
        <v>307</v>
      </c>
      <c r="Q113" s="1">
        <v>0.36070000000000002</v>
      </c>
      <c r="R113" s="1" t="s">
        <v>423</v>
      </c>
      <c r="S113" s="1">
        <v>9</v>
      </c>
      <c r="T113" s="1">
        <v>9</v>
      </c>
      <c r="U113" s="1" t="s">
        <v>37</v>
      </c>
      <c r="V113" s="1" t="s">
        <v>37</v>
      </c>
      <c r="W113" s="1" t="s">
        <v>37</v>
      </c>
      <c r="X113" s="1">
        <v>12</v>
      </c>
      <c r="Y113" s="1" t="s">
        <v>37</v>
      </c>
      <c r="Z113" s="1" t="s">
        <v>37</v>
      </c>
      <c r="AA113" s="1" t="s">
        <v>321</v>
      </c>
    </row>
    <row r="114" spans="1:27" x14ac:dyDescent="0.3">
      <c r="A114" s="1">
        <v>113</v>
      </c>
      <c r="B114" s="1" t="s">
        <v>27</v>
      </c>
      <c r="C114" s="1" t="s">
        <v>269</v>
      </c>
      <c r="D114" s="1" t="s">
        <v>29</v>
      </c>
      <c r="E114" s="1" t="s">
        <v>424</v>
      </c>
      <c r="F114" s="1" t="s">
        <v>58</v>
      </c>
      <c r="G114" s="1" t="s">
        <v>425</v>
      </c>
      <c r="H114" s="1">
        <v>55</v>
      </c>
      <c r="I114" s="1" t="s">
        <v>32</v>
      </c>
      <c r="J114" s="1">
        <v>20000</v>
      </c>
      <c r="K114" s="1">
        <v>80120674</v>
      </c>
      <c r="L114" s="1">
        <v>45622</v>
      </c>
      <c r="M114" s="1" t="s">
        <v>304</v>
      </c>
      <c r="N114" s="1" t="s">
        <v>305</v>
      </c>
      <c r="O114" s="1" t="s">
        <v>316</v>
      </c>
      <c r="P114" s="1" t="s">
        <v>307</v>
      </c>
      <c r="Q114" s="1">
        <v>0.28620000000000001</v>
      </c>
      <c r="R114" s="1" t="s">
        <v>426</v>
      </c>
      <c r="S114" s="1">
        <v>15</v>
      </c>
      <c r="T114" s="1">
        <v>12</v>
      </c>
      <c r="U114" s="1" t="s">
        <v>37</v>
      </c>
      <c r="V114" s="1" t="s">
        <v>37</v>
      </c>
      <c r="W114" s="1" t="s">
        <v>37</v>
      </c>
      <c r="X114" s="1">
        <v>15</v>
      </c>
      <c r="Y114" s="1" t="s">
        <v>37</v>
      </c>
      <c r="Z114" s="1" t="s">
        <v>37</v>
      </c>
      <c r="AA114" s="1" t="s">
        <v>309</v>
      </c>
    </row>
    <row r="115" spans="1:27" x14ac:dyDescent="0.3">
      <c r="A115" s="1">
        <v>114</v>
      </c>
      <c r="B115" s="1" t="s">
        <v>27</v>
      </c>
      <c r="C115" s="1" t="s">
        <v>269</v>
      </c>
      <c r="D115" s="1" t="s">
        <v>29</v>
      </c>
      <c r="E115" s="1" t="s">
        <v>427</v>
      </c>
      <c r="F115" s="1" t="s">
        <v>58</v>
      </c>
      <c r="G115" s="1" t="s">
        <v>428</v>
      </c>
      <c r="H115" s="1">
        <v>32</v>
      </c>
      <c r="I115" s="1" t="s">
        <v>32</v>
      </c>
      <c r="J115" s="1">
        <v>3000</v>
      </c>
      <c r="K115" s="1">
        <v>47699662</v>
      </c>
      <c r="L115" s="1">
        <v>45577</v>
      </c>
      <c r="M115" s="1" t="s">
        <v>315</v>
      </c>
      <c r="N115" s="1" t="s">
        <v>305</v>
      </c>
      <c r="O115" s="1" t="s">
        <v>316</v>
      </c>
      <c r="P115" s="1" t="s">
        <v>307</v>
      </c>
      <c r="Q115" s="1">
        <v>0.45929999999999999</v>
      </c>
      <c r="R115" s="1" t="s">
        <v>429</v>
      </c>
      <c r="S115" s="1">
        <v>5</v>
      </c>
      <c r="T115" s="1">
        <v>4</v>
      </c>
      <c r="U115" s="1" t="s">
        <v>37</v>
      </c>
      <c r="V115" s="1" t="s">
        <v>37</v>
      </c>
      <c r="W115" s="1" t="s">
        <v>37</v>
      </c>
      <c r="X115" s="1">
        <v>9</v>
      </c>
      <c r="Y115" s="1" t="s">
        <v>37</v>
      </c>
      <c r="Z115" s="1" t="s">
        <v>37</v>
      </c>
      <c r="AA115" s="1" t="s">
        <v>309</v>
      </c>
    </row>
    <row r="116" spans="1:27" x14ac:dyDescent="0.3">
      <c r="A116" s="1">
        <v>115</v>
      </c>
      <c r="B116" s="1" t="s">
        <v>27</v>
      </c>
      <c r="C116" s="1" t="s">
        <v>269</v>
      </c>
      <c r="D116" s="1" t="s">
        <v>29</v>
      </c>
      <c r="E116" s="1" t="s">
        <v>424</v>
      </c>
      <c r="F116" s="1" t="s">
        <v>58</v>
      </c>
      <c r="G116" s="1" t="s">
        <v>430</v>
      </c>
      <c r="H116" s="1">
        <v>37</v>
      </c>
      <c r="I116" s="1" t="s">
        <v>32</v>
      </c>
      <c r="J116" s="1">
        <v>5000</v>
      </c>
      <c r="K116" s="1">
        <v>44310124</v>
      </c>
      <c r="L116" s="1">
        <v>45630</v>
      </c>
      <c r="M116" s="1" t="s">
        <v>315</v>
      </c>
      <c r="N116" s="1" t="s">
        <v>305</v>
      </c>
      <c r="O116" s="1" t="s">
        <v>316</v>
      </c>
      <c r="P116" s="1" t="s">
        <v>307</v>
      </c>
      <c r="Q116" s="1">
        <v>0.39279999999999998</v>
      </c>
      <c r="R116" s="1" t="s">
        <v>431</v>
      </c>
      <c r="S116" s="1">
        <v>6</v>
      </c>
      <c r="T116" s="1">
        <v>5</v>
      </c>
      <c r="U116" s="1" t="s">
        <v>37</v>
      </c>
      <c r="V116" s="1" t="s">
        <v>37</v>
      </c>
      <c r="W116" s="1" t="s">
        <v>37</v>
      </c>
      <c r="X116" s="1">
        <v>10</v>
      </c>
      <c r="Y116" s="1" t="s">
        <v>37</v>
      </c>
      <c r="Z116" s="1" t="s">
        <v>37</v>
      </c>
      <c r="AA116" s="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COLOCACIONES_BIOCREDITOS</vt:lpstr>
      <vt:lpstr>Hoja9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torres rojas</cp:lastModifiedBy>
  <dcterms:created xsi:type="dcterms:W3CDTF">2024-05-04T13:32:24Z</dcterms:created>
  <dcterms:modified xsi:type="dcterms:W3CDTF">2025-11-19T22:24:52Z</dcterms:modified>
</cp:coreProperties>
</file>